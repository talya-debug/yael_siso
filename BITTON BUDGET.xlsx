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sheetId="1" r:id="rId5"/>
    <sheet state="visible" name="Sheet3" sheetId="2" r:id="rId6"/>
    <sheet state="visible" name="CARPENTRY BUDGET" sheetId="3" r:id="rId7"/>
  </sheets>
  <definedNames/>
  <calcPr/>
</workbook>
</file>

<file path=xl/sharedStrings.xml><?xml version="1.0" encoding="utf-8"?>
<sst xmlns="http://schemas.openxmlformats.org/spreadsheetml/2006/main" count="163" uniqueCount="153">
  <si>
    <t>SUBJECT</t>
  </si>
  <si>
    <t>SUPPLIER</t>
  </si>
  <si>
    <t>PRICE</t>
  </si>
  <si>
    <t>VAT</t>
  </si>
  <si>
    <t>STATUS</t>
  </si>
  <si>
    <t>COMMENTS</t>
  </si>
  <si>
    <t>הערה אחרונה על ידי עדי</t>
  </si>
  <si>
    <t>DEADLINE</t>
  </si>
  <si>
    <t>PRICES WITHOUT VAT</t>
  </si>
  <si>
    <t>PRICES WITH VAT</t>
  </si>
  <si>
    <t>NOTES</t>
  </si>
  <si>
    <t>Amount to be paid now- percentage</t>
  </si>
  <si>
    <t>Amount to be paid now / Paid</t>
  </si>
  <si>
    <t>Remaining amount to be paid</t>
  </si>
  <si>
    <t xml:space="preserve">עבודה שנשארה </t>
  </si>
  <si>
    <t>Account details</t>
  </si>
  <si>
    <t>Interior Design</t>
  </si>
  <si>
    <t>Yael Siso</t>
  </si>
  <si>
    <r>
      <rPr>
        <rFont val="Arial"/>
        <b/>
        <color theme="1"/>
        <sz val="11.0"/>
      </rPr>
      <t>30% - Down payment.
20% - After concept and layout plan approval.</t>
    </r>
    <r>
      <rPr>
        <rFont val="Arial"/>
        <color theme="1"/>
        <sz val="11.0"/>
      </rPr>
      <t xml:space="preserve">
</t>
    </r>
    <r>
      <rPr>
        <rFont val="Arial"/>
        <b/>
        <color theme="1"/>
        <sz val="11.0"/>
      </rPr>
      <t xml:space="preserve">20% - After completing the working plans.
</t>
    </r>
    <r>
      <rPr>
        <rFont val="Arial"/>
        <b/>
        <color rgb="FFFF0000"/>
        <sz val="11.0"/>
      </rPr>
      <t>10% -</t>
    </r>
    <r>
      <rPr>
        <rFont val="Arial"/>
        <b/>
        <color theme="1"/>
        <sz val="11.0"/>
      </rPr>
      <t xml:space="preserve"> During the supervision stage (at the start of construction work).</t>
    </r>
    <r>
      <rPr>
        <rFont val="Arial"/>
        <color theme="1"/>
        <sz val="11.0"/>
      </rPr>
      <t xml:space="preserve">
</t>
    </r>
    <r>
      <rPr>
        <rFont val="Arial"/>
        <color rgb="FFFF0000"/>
        <sz val="11.0"/>
      </rPr>
      <t xml:space="preserve"> 20% -</t>
    </r>
    <r>
      <rPr>
        <rFont val="Arial"/>
        <color theme="1"/>
        <sz val="11.0"/>
      </rPr>
      <t xml:space="preserve"> Upon project completion (two weeks after moving in).</t>
    </r>
  </si>
  <si>
    <t>Partially paid
84960</t>
  </si>
  <si>
    <t>Bill of Quantity</t>
  </si>
  <si>
    <t>שם החשבון באנגלית
KEIZMAN ASI AND KEIZMAN GONI
 IBAN : IL130121700000000392274 
SWIFT : POALILIT</t>
  </si>
  <si>
    <t>Fully paid 10030</t>
  </si>
  <si>
    <t>Main contractor</t>
  </si>
  <si>
    <t>TOMER</t>
  </si>
  <si>
    <t xml:space="preserve">אושר </t>
  </si>
  <si>
    <r>
      <rPr>
        <rFont val="Arial"/>
        <b/>
        <color theme="1"/>
        <sz val="11.0"/>
      </rPr>
      <t>• Advance payment before starting the works – 10%
Amount before VAT: 61,609 NIS. VAT (18%): 11,089 NIS
Total payment: 72,698 NIS</t>
    </r>
    <r>
      <rPr>
        <rFont val="Arial"/>
        <color theme="1"/>
        <sz val="11.0"/>
      </rPr>
      <t xml:space="preserve">
</t>
    </r>
    <r>
      <rPr>
        <rFont val="Arial"/>
        <b/>
        <color theme="1"/>
        <sz val="11.0"/>
      </rPr>
      <t>• Upon completion of demolition works – 10%
Amount before VAT: 61,609 NIS VAT (18%): 11,089 NIS
Total payment: 72,698 NIS</t>
    </r>
    <r>
      <rPr>
        <rFont val="Arial"/>
        <color theme="1"/>
        <sz val="11.0"/>
      </rPr>
      <t xml:space="preserve">
• Upon completion of electrical infrastructure works – 10%
Amount before VAT: 61,609 NIS VAT (18%): 11,089 NIS.
Total payment: 72,698 NIS
• Upon completion of plumbing works – 10%
Amount before VAT: 61,609 NIS. VAT (18%): 11,089 NIS
Total payment: 72,698 NIS
• Upon completion of ceiling construction (before closing with gypsum) – 20%
Amount before VAT: 123,218 NIS. VAT (18%): 22,179 NIS
Total payment: 145,397 NIS
• Upon completion of flooring and tiling works – 20%
Amount before VAT: 123,218 NIS. VAT (18%): 22,179 NIS
Total payment: 145,397 NIS
• Upon completion of first coat of paint – 15%
Amount before VAT: 92,414 NIS. VAT (18%): 16,635 NIS
Total payment: 109,049 NIS
• Two weeks after handover – 5%
Amount before VAT: 30,805 NIS. VAT (18%): 5,545 NIS
Total payment: 36,350 NIS</t>
    </r>
  </si>
  <si>
    <t>Partially paid
145,396, Partially paid
312,140.68, Partially paid 200,000, Partially paid 67,505.44, Paritally paid 59000</t>
  </si>
  <si>
    <t>Parquet Flooring</t>
  </si>
  <si>
    <t>HEZI BANK</t>
  </si>
  <si>
    <r>
      <rPr>
        <rFont val="Arial"/>
        <b val="0"/>
        <color theme="1"/>
      </rPr>
      <t>Partially paid
42000, Partially paid
48048, Partially paid 48019</t>
    </r>
    <r>
      <rPr>
        <rFont val="Arial"/>
        <b/>
        <color theme="1"/>
      </rPr>
      <t xml:space="preserve"> Fully Paid-138,068</t>
    </r>
  </si>
  <si>
    <t>Sanitary ware, cladding and flooring</t>
  </si>
  <si>
    <t>included</t>
  </si>
  <si>
    <t>אושר ושולם</t>
  </si>
  <si>
    <t>המחיר לא סופי, כיור עומד?</t>
  </si>
  <si>
    <t>כיור שירותי אורחים לסגור +ללכת לראות במודי 120/120 עובי 2 ס"מ</t>
  </si>
  <si>
    <t>120/120 cm 
Replace the shower head with a ceiling-mounted one; verify the exact number of tiles.</t>
  </si>
  <si>
    <t>Bank: BANK LEUMI LE ISRAEL B.M.
Main Branch: Tel Aviv (No. 800)
Address: Herzl 19
Account No.: 828223/82
Account Name: HEZIBANK DESIGN LTD
SWIFT Code: LUMIILITXXX
IBAN: IL18 0108 0000 0008 2822 382</t>
  </si>
  <si>
    <t xml:space="preserve">Microtoping- Outdoor Flooring </t>
  </si>
  <si>
    <t>540 for skm אם מבצעים מיקרוטופינג על ריצוף סוג ב</t>
  </si>
  <si>
    <t>Partially paid
42000</t>
  </si>
  <si>
    <t>Microtoping- cladding</t>
  </si>
  <si>
    <t>MIKI ESHEL</t>
  </si>
  <si>
    <t>550 for skm</t>
  </si>
  <si>
    <t>A.C.</t>
  </si>
  <si>
    <t>ADIR</t>
  </si>
  <si>
    <t>not included</t>
  </si>
  <si>
    <t>אושר</t>
  </si>
  <si>
    <t>לעבור עם בני בשטח עם התכנית לוודא שהכל מובן שלא חסר כלום. בעיקרון כבר עשינו את זה. אבל רק לוודא לפני ביצוע. לתאם איתו את הפתח גישה ליחידה בקיר קמין</t>
  </si>
  <si>
    <r>
      <rPr>
        <rFont val="Arial"/>
        <b/>
        <color theme="1"/>
        <sz val="11.0"/>
      </rPr>
      <t xml:space="preserve">For replacing the air conditioning units in the bedrooms — each room will get a separate unit. The work includes:  </t>
    </r>
    <r>
      <rPr>
        <rFont val="Arial"/>
        <color theme="1"/>
        <sz val="11.0"/>
      </rPr>
      <t xml:space="preserve">
❖ A concealed unit for the master bedroom that will cool both the bedroom and the safe room (Mamad)  
❖ 2 units for the kids’ rooms  
❖ Replacing all grills in the apartment  
❖ Relocating and modifying the living room A/C unit, including replacing the shutters there too
Preliminary price offer – ₪55,000 + ₪16,000 for replacing the central air-conditioning unit + ₪6,000 for 4 new sound-insulated fans.
Total: ₪77,000 before VAT.</t>
    </r>
  </si>
  <si>
    <t xml:space="preserve">BANK DETAILS
Bank name: Mizrahi-Tefahot Bank
Account number: 425-499645
IBAN: IL59-0204-2500-0000-0499-645
SWIFT code: MIZBILITXXX
</t>
  </si>
  <si>
    <t>Fully Paid- 90860</t>
  </si>
  <si>
    <t>Lighthing</t>
  </si>
  <si>
    <t>GUY MISHALY</t>
  </si>
  <si>
    <t>decorative lighting for guest toilet</t>
  </si>
  <si>
    <t>Bank- Mizrahi Tfahot
Branch- 441
Account Name- 
Rachel Osnat Boxnboim
Guy Michaly
Account Address- Hanevi’im 26, Haifa, 3310405
IBAN- IL780204410000000209615
SWIFT- MIZBILIT</t>
  </si>
  <si>
    <t>Fully paid 1699</t>
  </si>
  <si>
    <t>YAIR DORAM</t>
  </si>
  <si>
    <t>שולמה מקדמה בגובה 50% 43,000</t>
  </si>
  <si>
    <t xml:space="preserve">דוגמה של פס מגנטי לדימור להעביר לבן ויטראה- חיים הבטיח עד יום רביעי לפני הזמנה לביצוע לעבור עם חיים לוודא אורכים של כל הפסים, להבין מז'אן מארק למתי צריך את האספקה של הגופים. </t>
  </si>
  <si>
    <t>All lighting of the appartement excluding these:
Table lamps in the kids’ rooms, concealed lighting and ceiling lighting for the balcony – to be checked in the plans.</t>
  </si>
  <si>
    <t xml:space="preserve"> YAIR DORAM 1992 LTD
 Bank Hapoalim (12)
 Tel Aviv Branch (159) 23 Menahem Begin RD. Tel-Aviv Israel 
 Account No.   128722  
 IBAN   NO.  IL87-0121-5900-0000-0128-722 
Swift:  POALILIT</t>
  </si>
  <si>
    <r>
      <rPr>
        <rFont val="Arial"/>
        <b val="0"/>
        <color theme="1"/>
      </rPr>
      <t xml:space="preserve">Partially paid
17375, Partially paid
17375. </t>
    </r>
    <r>
      <rPr>
        <rFont val="Arial"/>
        <b/>
        <color theme="1"/>
      </rPr>
      <t xml:space="preserve">Fully Paid-34750 + Paid 1197 </t>
    </r>
  </si>
  <si>
    <t>Electricity</t>
  </si>
  <si>
    <t>VITREA</t>
  </si>
  <si>
    <t>שולמה מקדמה 30% + מעמ 20,657 ש"ח</t>
  </si>
  <si>
    <t>Vitréa is requesting full payment (since this is an order under ₪25,000).
There is an option to pay by credit card, split into up to 4 installments, or by bank transfer for the full amount (they have an overseas bank account).
Please let us know how you prefer to pay.
If you choose credit card payment, we will pass your phone number to Vitréa and they will contact you to process the charge.BANK HAPOALIM B .M.
BRANCH 584
SWIFT CODE: POALILIT
IBAN NO: IL75-0125-8400-0000-0124-309
ACCOUNT NAME: VITREA SMART HOME
TECHNOLOGIES LTD
ACCOUNT NO: 124309</t>
  </si>
  <si>
    <t>Fully paid 28074</t>
  </si>
  <si>
    <t>Switches</t>
  </si>
  <si>
    <t>Fully paid 883</t>
  </si>
  <si>
    <t xml:space="preserve">Audio Video </t>
  </si>
  <si>
    <t>ARTZI</t>
  </si>
  <si>
    <t>Wi-Fi, camera, living-room TV, master-bedroom TV, preparations and installation</t>
  </si>
  <si>
    <t>Down payment 30% 
details:
ARTZI ADVANCED COMMUNICATION SYSTEMS
BANK HAPOALIM       
BRUNCH 640      
ACCOUNT 133764</t>
  </si>
  <si>
    <r>
      <rPr>
        <rFont val="Arial"/>
        <b val="0"/>
        <color theme="1"/>
      </rPr>
      <t xml:space="preserve">Partially paid
4698, Partially paid 14371, </t>
    </r>
    <r>
      <rPr>
        <rFont val="Arial"/>
        <b/>
        <color theme="1"/>
      </rPr>
      <t>Fully Paid-19,069</t>
    </r>
  </si>
  <si>
    <t xml:space="preserve">Carpentry + Kitchen </t>
  </si>
  <si>
    <t>45K זיכוי אצל טולמנס</t>
  </si>
  <si>
    <t>ברגע שמסיימים הכנות חשמל ואינסטלציה צריך להזמין את טולמנס לקחת מידות ולהוריד לביצוע, וממתינים לאישור פרביטל לחיזוקים באי</t>
  </si>
  <si>
    <t xml:space="preserve">
CARPENTRY RONY GABAY
Bank 20 - MIZRAHI TEFAHOT BANK LTD
Branch 511 - NES ZIONA
IL620205110000000302943
MIZBILITXXX</t>
  </si>
  <si>
    <t>Partially paid
65490</t>
  </si>
  <si>
    <t xml:space="preserve">Electrical appliances
</t>
  </si>
  <si>
    <t>ELECTRIC PLUS</t>
  </si>
  <si>
    <t>אושר ושולמה מקדמה</t>
  </si>
  <si>
    <t>Option for a micro unit only, 38 cm height, hinged opening, at an additional cost : 2,100 NIS + VAT</t>
  </si>
  <si>
    <t>Account no.: 384200/39
Bank: Bank Leumi le Israel B.M.
IBAN: IL50 0108 2700 0003 8420 039
Branch: Azur, 827
Address: 3 Herzl St. Azur, 58006
SWIFT: LUMIILITXXX</t>
  </si>
  <si>
    <r>
      <rPr>
        <rFont val="Arial"/>
        <b val="0"/>
        <color theme="1"/>
      </rPr>
      <t>Paid (37412)
10000, Paid 27412</t>
    </r>
    <r>
      <rPr>
        <rFont val="Arial"/>
        <b/>
        <color theme="1"/>
      </rPr>
      <t xml:space="preserve"> Fully Paid-138,068</t>
    </r>
  </si>
  <si>
    <t>Doors</t>
  </si>
  <si>
    <t>SHAARY BRACHA</t>
  </si>
  <si>
    <t>לעקוב אחרי ז'אן מארק מתי אפשר להזמין אותם לקחת מידות ולהחליט לגבי הדלת שצמודה לטלויזיה</t>
  </si>
  <si>
    <t>Bank- Hapoalim
Branch- 643
Account Name- SHAAREI BRACHA CARPENTRY LTD
Account Address- HAMERKAVA 18 HOLON 5885409
IBAN- IL030126430000000444432
Swift- POALILIT</t>
  </si>
  <si>
    <r>
      <rPr>
        <rFont val="Arial"/>
        <b val="0"/>
        <color theme="1"/>
      </rPr>
      <t xml:space="preserve">Partially paid
17441, Partially paid
26161, </t>
    </r>
    <r>
      <rPr>
        <rFont val="Arial"/>
        <b/>
        <color theme="1"/>
      </rPr>
      <t>Fully paid 43602</t>
    </r>
  </si>
  <si>
    <t>MARBLE</t>
  </si>
  <si>
    <t>MILSTONE - GRANIT PORCELANE</t>
  </si>
  <si>
    <t>with stainless steel sink from hezibank</t>
  </si>
  <si>
    <t xml:space="preserve">
מילסטו עיבודי שיש בע"מ
בנק מזרחי
סניף 416
חשבון 297573</t>
  </si>
  <si>
    <r>
      <rPr>
        <rFont val="Arial"/>
        <b val="0"/>
        <color theme="1"/>
      </rPr>
      <t>Partially paid
12744, Partially paid
12530.85</t>
    </r>
    <r>
      <rPr>
        <rFont val="Arial"/>
        <b/>
        <color theme="1"/>
      </rPr>
      <t xml:space="preserve"> Fully paid 25275</t>
    </r>
  </si>
  <si>
    <t>Bank- LEUMI
Branch- 618
Account Name- 
Account Address-
IBAN- IL400106180000000090021
Swift- LUMIILITXXX</t>
  </si>
  <si>
    <t>Mirrors</t>
  </si>
  <si>
    <t>A.A MIRRORS</t>
  </si>
  <si>
    <t>mirrors for guest toilet, kids bathrrom, master bathroom and mirror on the mamad door</t>
  </si>
  <si>
    <t xml:space="preserve">
AA MAROT LTD
Bank name – MIZRAHI-TEFAHOT
Routing No. – 495
Account No. – 180028
Swift – MIZBILITXXX
Iban – IL87-0204-9500-0000-0180-028</t>
  </si>
  <si>
    <t>Glass partitions</t>
  </si>
  <si>
    <t>This includes the seperation between the master bedroom and the master bathroom + the seperation between the master bathrrom and corridor.The master bathroom door is a standard hinged door</t>
  </si>
  <si>
    <t>Glass Showers</t>
  </si>
  <si>
    <t xml:space="preserve">  For kids bathroom and master bathroom shower </t>
  </si>
  <si>
    <t>Total glasses &amp; mirrors</t>
  </si>
  <si>
    <r>
      <rPr>
        <rFont val="Arial"/>
        <color theme="1"/>
      </rPr>
      <t xml:space="preserve">Partially paid
18349, Partially paid
9381 </t>
    </r>
    <r>
      <rPr>
        <rFont val="Arial"/>
        <b/>
        <color theme="1"/>
      </rPr>
      <t>Fully Paid- 27730</t>
    </r>
  </si>
  <si>
    <t>Countertops corian</t>
  </si>
  <si>
    <t>BORISTONE</t>
  </si>
  <si>
    <t>This includes the countertop + sink  of the kids and master bathroom cabinet</t>
  </si>
  <si>
    <t>BANK DETAILS
Bank name – MIZRAHI-TEFAHOT
Routing No. – 412
Account No. – 254357
Swift – MIZBILITXXX
Iban – IL90-0204-1200-0000-0254-357
Beneficiary Name – OHAYOUN NAAMIT - BORISTONE</t>
  </si>
  <si>
    <r>
      <rPr>
        <rFont val="Arial"/>
        <b val="0"/>
        <color theme="1"/>
      </rPr>
      <t>Partially paid
7450, Partially paid 9050</t>
    </r>
    <r>
      <rPr>
        <rFont val="Arial"/>
        <b/>
        <color theme="1"/>
      </rPr>
      <t xml:space="preserve"> Fully Paid-16500</t>
    </r>
  </si>
  <si>
    <t>Curtains</t>
  </si>
  <si>
    <t>YAIR</t>
  </si>
  <si>
    <t>Bank name: Bank Hapoalim
Bank code: 12
Branch number: 613
Account number: 79594
Account holder name: Gabrieli Yair
IBAN: IL13 0126 1300 0000 079594</t>
  </si>
  <si>
    <r>
      <rPr>
        <rFont val="Arial"/>
        <b val="0"/>
        <color theme="1"/>
      </rPr>
      <t>Partially paid
5168, Partially paid
5168</t>
    </r>
    <r>
      <rPr>
        <rFont val="Arial"/>
        <b/>
        <color theme="1"/>
      </rPr>
      <t xml:space="preserve"> Fully Paid-10336</t>
    </r>
  </si>
  <si>
    <t>Gardening</t>
  </si>
  <si>
    <t>ITAY KIVITY</t>
  </si>
  <si>
    <t>IBAN
IL53-0127-4900-0000-0445-531
SWIFT
POALILIT
KVITY ITAI- 
GARDENING AND LANDSCAPING</t>
  </si>
  <si>
    <r>
      <rPr>
        <rFont val="Arial"/>
        <color theme="1"/>
      </rPr>
      <t xml:space="preserve">Partially paid
9416, Partially paid
21972, </t>
    </r>
    <r>
      <rPr>
        <rFont val="Arial"/>
        <b/>
        <color theme="1"/>
      </rPr>
      <t>Fully Paid-31388</t>
    </r>
  </si>
  <si>
    <t>Mamad Door</t>
  </si>
  <si>
    <t>Fully paid 1770</t>
  </si>
  <si>
    <t>Parquet installation</t>
  </si>
  <si>
    <t>Whole wood</t>
  </si>
  <si>
    <t>Partially paid 18000</t>
  </si>
  <si>
    <t>Bench</t>
  </si>
  <si>
    <t>Kuala</t>
  </si>
  <si>
    <t>Fully paid 973</t>
  </si>
  <si>
    <t>Water Filter</t>
  </si>
  <si>
    <t>Gome</t>
  </si>
  <si>
    <t>Fully paid 13260</t>
  </si>
  <si>
    <t>Bathroom Accesories</t>
  </si>
  <si>
    <t>Unico</t>
  </si>
  <si>
    <t>Fully paid 2177</t>
  </si>
  <si>
    <t xml:space="preserve">Cleaning </t>
  </si>
  <si>
    <t>Fully paid 8496</t>
  </si>
  <si>
    <t xml:space="preserve">Styling </t>
  </si>
  <si>
    <t>Bedsheets, Cuttlery</t>
  </si>
  <si>
    <t>Led for Bed</t>
  </si>
  <si>
    <t>Yair Duram</t>
  </si>
  <si>
    <t>Fully paid 920</t>
  </si>
  <si>
    <t>Art</t>
  </si>
  <si>
    <t>Printing</t>
  </si>
  <si>
    <t>C-Copy</t>
  </si>
  <si>
    <t>Fully Paid 1099</t>
  </si>
  <si>
    <t>Furniture</t>
  </si>
  <si>
    <t>After choosing the furniture.</t>
  </si>
  <si>
    <t>Papier peint/טפטים</t>
  </si>
  <si>
    <t>Basement shelves</t>
  </si>
  <si>
    <t>Fully Paid 2950</t>
  </si>
  <si>
    <t>TOTAL</t>
  </si>
  <si>
    <t>PRIX AVANT TVA</t>
  </si>
  <si>
    <t>PRIX TTC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</si>
</sst>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quot;$&quot;#,##0.00"/>
  </numFmts>
  <fonts count="14">
    <font>
      <sz val="10.0"/>
      <color rgb="FF000000"/>
      <name val="Arial"/>
      <scheme val="minor"/>
    </font>
    <font>
      <b/>
      <sz val="11.0"/>
      <color theme="1"/>
      <name val="Arial"/>
    </font>
    <font>
      <b/>
      <sz val="11.0"/>
      <color theme="1"/>
      <name val="Arial"/>
      <scheme val="minor"/>
    </font>
    <font>
      <sz val="11.0"/>
      <color theme="1"/>
      <name val="Arial"/>
      <scheme val="minor"/>
    </font>
    <font>
      <color theme="1"/>
      <name val="Arial"/>
      <scheme val="minor"/>
    </font>
    <font>
      <b/>
      <color theme="1"/>
      <name val="Arial"/>
      <scheme val="minor"/>
    </font>
    <font>
      <sz val="11.0"/>
      <color theme="1"/>
      <name val="Arial"/>
    </font>
    <font/>
    <font>
      <b/>
      <sz val="11.0"/>
      <color rgb="FF000000"/>
      <name val="Arial"/>
    </font>
    <font>
      <sz val="11.0"/>
      <color rgb="FF000000"/>
      <name val="Arial"/>
    </font>
    <font>
      <color theme="1"/>
      <name val="Arial"/>
    </font>
    <font>
      <b/>
      <sz val="14.0"/>
      <color theme="1"/>
      <name val="Arial"/>
      <scheme val="minor"/>
    </font>
    <font>
      <sz val="10.0"/>
      <color theme="1"/>
      <name val="Arial"/>
      <scheme val="minor"/>
    </font>
    <font>
      <sz val="10.0"/>
      <color theme="1"/>
      <name val="Arial"/>
    </font>
  </fonts>
  <fills count="13">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FFFFFF"/>
        <bgColor rgb="FFFFFFFF"/>
      </patternFill>
    </fill>
    <fill>
      <patternFill patternType="solid">
        <fgColor rgb="FFF9CB9C"/>
        <bgColor rgb="FFF9CB9C"/>
      </patternFill>
    </fill>
    <fill>
      <patternFill patternType="solid">
        <fgColor rgb="FFEA9999"/>
        <bgColor rgb="FFEA9999"/>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rgb="FFF6B26B"/>
        <bgColor rgb="FFF6B26B"/>
      </patternFill>
    </fill>
    <fill>
      <patternFill patternType="solid">
        <fgColor rgb="FFFFFF00"/>
        <bgColor rgb="FFFFFF00"/>
      </patternFill>
    </fill>
    <fill>
      <patternFill patternType="solid">
        <fgColor rgb="FFC27BA0"/>
        <bgColor rgb="FFC27BA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3" xfId="0" applyAlignment="1" applyBorder="1" applyFont="1" applyNumberFormat="1">
      <alignment horizontal="center" readingOrder="0" vertical="center"/>
    </xf>
    <xf borderId="1" fillId="2" fontId="2"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vertical="center"/>
    </xf>
    <xf borderId="1" fillId="2" fontId="2" numFmtId="164" xfId="0" applyAlignment="1" applyBorder="1" applyFont="1" applyNumberFormat="1">
      <alignment horizontal="center" readingOrder="0" shrinkToFit="0" vertical="center" wrapText="1"/>
    </xf>
    <xf borderId="1" fillId="2" fontId="2" numFmtId="165" xfId="0" applyAlignment="1" applyBorder="1" applyFont="1" applyNumberFormat="1">
      <alignment horizontal="center" readingOrder="0" shrinkToFit="0" vertical="center" wrapText="1"/>
    </xf>
    <xf borderId="1" fillId="3" fontId="4" numFmtId="0" xfId="0" applyAlignment="1" applyBorder="1" applyFill="1" applyFont="1">
      <alignment horizontal="center" readingOrder="0"/>
    </xf>
    <xf borderId="0" fillId="3" fontId="5" numFmtId="0" xfId="0" applyAlignment="1" applyFont="1">
      <alignment horizontal="center" readingOrder="0" shrinkToFit="0" wrapText="1"/>
    </xf>
    <xf borderId="0" fillId="3" fontId="5" numFmtId="0" xfId="0" applyAlignment="1" applyFont="1">
      <alignment horizontal="center" readingOrder="0"/>
    </xf>
    <xf borderId="0" fillId="3" fontId="4" numFmtId="0" xfId="0" applyAlignment="1" applyFont="1">
      <alignment horizontal="center"/>
    </xf>
    <xf borderId="1" fillId="3" fontId="1" numFmtId="0" xfId="0" applyAlignment="1" applyBorder="1" applyFont="1">
      <alignment horizontal="center" readingOrder="0" shrinkToFit="0" vertical="center" wrapText="1"/>
    </xf>
    <xf borderId="1" fillId="0" fontId="6" numFmtId="0" xfId="0" applyAlignment="1" applyBorder="1" applyFont="1">
      <alignment horizontal="center" readingOrder="0" vertical="center"/>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3" numFmtId="3" xfId="0" applyAlignment="1" applyBorder="1" applyFont="1" applyNumberFormat="1">
      <alignment horizontal="center" readingOrder="0" vertical="center"/>
    </xf>
    <xf borderId="1" fillId="0" fontId="3" numFmtId="0" xfId="0" applyAlignment="1" applyBorder="1" applyFont="1">
      <alignment horizontal="center" readingOrder="0" shrinkToFit="0" vertical="center" wrapText="1"/>
    </xf>
    <xf borderId="1" fillId="4" fontId="2" numFmtId="164" xfId="0" applyAlignment="1" applyBorder="1" applyFill="1" applyFont="1" applyNumberFormat="1">
      <alignment horizontal="center" readingOrder="0" vertical="center"/>
    </xf>
    <xf borderId="1" fillId="0" fontId="3"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4" fontId="2" numFmtId="9" xfId="0" applyAlignment="1" applyBorder="1" applyFont="1" applyNumberFormat="1">
      <alignment horizontal="center" readingOrder="0" vertical="center"/>
    </xf>
    <xf borderId="1" fillId="5" fontId="2" numFmtId="164" xfId="0" applyAlignment="1" applyBorder="1" applyFill="1" applyFont="1" applyNumberFormat="1">
      <alignment horizontal="center" readingOrder="0" vertical="center"/>
    </xf>
    <xf borderId="1" fillId="6" fontId="2" numFmtId="164" xfId="0" applyAlignment="1" applyBorder="1" applyFill="1" applyFont="1" applyNumberFormat="1">
      <alignment horizontal="center" readingOrder="0" vertical="center"/>
    </xf>
    <xf borderId="1" fillId="7" fontId="4" numFmtId="0" xfId="0" applyAlignment="1" applyBorder="1" applyFill="1" applyFont="1">
      <alignment horizontal="center"/>
    </xf>
    <xf borderId="0" fillId="0" fontId="4" numFmtId="0" xfId="0" applyAlignment="1" applyFont="1">
      <alignment horizontal="center" readingOrder="0" shrinkToFit="0" wrapText="1"/>
    </xf>
    <xf borderId="0" fillId="5" fontId="5"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1" fillId="8" fontId="6" numFmtId="0" xfId="0" applyAlignment="1" applyBorder="1" applyFill="1" applyFont="1">
      <alignment horizontal="center" readingOrder="0" vertical="center"/>
    </xf>
    <xf borderId="1" fillId="8" fontId="3" numFmtId="0" xfId="0" applyAlignment="1" applyBorder="1" applyFont="1">
      <alignment horizontal="center" vertical="center"/>
    </xf>
    <xf borderId="1" fillId="8" fontId="3" numFmtId="0" xfId="0" applyAlignment="1" applyBorder="1" applyFont="1">
      <alignment horizontal="center" shrinkToFit="0" vertical="center" wrapText="1"/>
    </xf>
    <xf borderId="1" fillId="8" fontId="3" numFmtId="3" xfId="0" applyAlignment="1" applyBorder="1" applyFont="1" applyNumberFormat="1">
      <alignment horizontal="center" readingOrder="0" vertical="center"/>
    </xf>
    <xf borderId="1" fillId="8" fontId="3" numFmtId="0" xfId="0" applyAlignment="1" applyBorder="1" applyFont="1">
      <alignment horizontal="center" readingOrder="0" shrinkToFit="0" vertical="center" wrapText="1"/>
    </xf>
    <xf borderId="1" fillId="8" fontId="2" numFmtId="164" xfId="0" applyAlignment="1" applyBorder="1" applyFont="1" applyNumberFormat="1">
      <alignment horizontal="center" readingOrder="0" vertical="center"/>
    </xf>
    <xf borderId="1" fillId="8" fontId="3" numFmtId="164" xfId="0" applyAlignment="1" applyBorder="1" applyFont="1" applyNumberFormat="1">
      <alignment horizontal="center" readingOrder="0" shrinkToFit="0" vertical="center" wrapText="1"/>
    </xf>
    <xf borderId="1" fillId="8" fontId="2" numFmtId="9" xfId="0" applyAlignment="1" applyBorder="1" applyFont="1" applyNumberFormat="1">
      <alignment horizontal="center" readingOrder="0" vertical="center"/>
    </xf>
    <xf borderId="1" fillId="8" fontId="4" numFmtId="0" xfId="0" applyAlignment="1" applyBorder="1" applyFont="1">
      <alignment horizontal="center"/>
    </xf>
    <xf borderId="1" fillId="8" fontId="4" numFmtId="0" xfId="0" applyAlignment="1" applyBorder="1" applyFont="1">
      <alignment horizontal="center" readingOrder="0" shrinkToFit="0" wrapText="1"/>
    </xf>
    <xf borderId="0" fillId="8" fontId="5" numFmtId="0" xfId="0" applyAlignment="1" applyFont="1">
      <alignment horizontal="center" readingOrder="0"/>
    </xf>
    <xf borderId="1" fillId="0" fontId="2" numFmtId="164" xfId="0" applyAlignment="1" applyBorder="1" applyFont="1" applyNumberFormat="1">
      <alignment horizontal="center" readingOrder="0" vertical="center"/>
    </xf>
    <xf borderId="1" fillId="0" fontId="3" numFmtId="164" xfId="0" applyAlignment="1" applyBorder="1" applyFont="1" applyNumberFormat="1">
      <alignment horizontal="center" readingOrder="0" shrinkToFit="0" vertical="center" wrapText="1"/>
    </xf>
    <xf borderId="1" fillId="9" fontId="4" numFmtId="0" xfId="0" applyAlignment="1" applyBorder="1" applyFill="1" applyFont="1">
      <alignment horizontal="center"/>
    </xf>
    <xf borderId="1" fillId="0" fontId="4" numFmtId="0" xfId="0" applyAlignment="1" applyBorder="1" applyFont="1">
      <alignment horizontal="center" shrinkToFit="0" wrapText="1"/>
    </xf>
    <xf borderId="2" fillId="8" fontId="3" numFmtId="0" xfId="0" applyAlignment="1" applyBorder="1" applyFont="1">
      <alignment horizontal="center" readingOrder="0" vertical="center"/>
    </xf>
    <xf borderId="1" fillId="8" fontId="3" numFmtId="3" xfId="0" applyAlignment="1" applyBorder="1" applyFont="1" applyNumberFormat="1">
      <alignment horizontal="center" readingOrder="0" vertical="center"/>
    </xf>
    <xf borderId="1" fillId="8" fontId="3" numFmtId="0" xfId="0" applyAlignment="1" applyBorder="1" applyFont="1">
      <alignment horizontal="center" readingOrder="0" shrinkToFit="0" vertical="center" wrapText="1"/>
    </xf>
    <xf borderId="1" fillId="8" fontId="3" numFmtId="0" xfId="0" applyAlignment="1" applyBorder="1" applyFont="1">
      <alignment horizontal="center" readingOrder="0" vertical="center"/>
    </xf>
    <xf borderId="1" fillId="8" fontId="2" numFmtId="164" xfId="0" applyAlignment="1" applyBorder="1" applyFont="1" applyNumberFormat="1">
      <alignment horizontal="center" readingOrder="0" shrinkToFit="0" vertical="center" wrapText="1"/>
    </xf>
    <xf borderId="1" fillId="8" fontId="2" numFmtId="164" xfId="0" applyAlignment="1" applyBorder="1" applyFont="1" applyNumberFormat="1">
      <alignment horizontal="center" readingOrder="0" shrinkToFit="0" vertical="center" wrapText="1"/>
    </xf>
    <xf borderId="2" fillId="8" fontId="2" numFmtId="164" xfId="0" applyAlignment="1" applyBorder="1" applyFont="1" applyNumberFormat="1">
      <alignment horizontal="center" readingOrder="0" vertical="center"/>
    </xf>
    <xf borderId="1" fillId="8" fontId="4" numFmtId="0" xfId="0" applyAlignment="1" applyBorder="1" applyFont="1">
      <alignment horizontal="center" readingOrder="0" shrinkToFit="0" wrapText="1"/>
    </xf>
    <xf borderId="0" fillId="8" fontId="5" numFmtId="0" xfId="0" applyAlignment="1" applyFont="1">
      <alignment horizontal="center" readingOrder="0" shrinkToFit="0" wrapText="1"/>
    </xf>
    <xf borderId="3" fillId="0" fontId="7" numFmtId="0" xfId="0" applyBorder="1" applyFont="1"/>
    <xf borderId="4" fillId="0" fontId="7" numFmtId="0" xfId="0" applyBorder="1" applyFont="1"/>
    <xf borderId="1" fillId="8" fontId="1" numFmtId="0" xfId="0" applyAlignment="1" applyBorder="1" applyFont="1">
      <alignment horizontal="center" readingOrder="0" shrinkToFit="0" vertical="center" wrapText="1"/>
    </xf>
    <xf borderId="1" fillId="8" fontId="3" numFmtId="3" xfId="0" applyAlignment="1" applyBorder="1" applyFont="1" applyNumberFormat="1">
      <alignment horizontal="center" readingOrder="0" shrinkToFit="0" vertical="center" wrapText="1"/>
    </xf>
    <xf borderId="1" fillId="8" fontId="2" numFmtId="164" xfId="0" applyAlignment="1" applyBorder="1" applyFont="1" applyNumberFormat="1">
      <alignment horizontal="center" readingOrder="0" vertical="center"/>
    </xf>
    <xf borderId="1" fillId="8" fontId="4" numFmtId="0" xfId="0" applyAlignment="1" applyBorder="1" applyFont="1">
      <alignment horizontal="center" shrinkToFit="0" wrapText="1"/>
    </xf>
    <xf borderId="1" fillId="0" fontId="3" numFmtId="3" xfId="0" applyAlignment="1" applyBorder="1" applyFont="1" applyNumberFormat="1">
      <alignment horizontal="center" readingOrder="0" shrinkToFit="0" vertical="center" wrapText="1"/>
    </xf>
    <xf borderId="1" fillId="0" fontId="2" numFmtId="164" xfId="0" applyAlignment="1" applyBorder="1" applyFont="1" applyNumberFormat="1">
      <alignment horizontal="center" readingOrder="0" vertical="center"/>
    </xf>
    <xf borderId="1" fillId="0" fontId="4" numFmtId="0" xfId="0" applyAlignment="1" applyBorder="1" applyFont="1">
      <alignment horizontal="center"/>
    </xf>
    <xf borderId="1" fillId="0" fontId="4" numFmtId="0" xfId="0" applyAlignment="1" applyBorder="1" applyFont="1">
      <alignment horizontal="center" readingOrder="0" shrinkToFit="0" wrapText="1"/>
    </xf>
    <xf borderId="1" fillId="8" fontId="6" numFmtId="0" xfId="0" applyAlignment="1" applyBorder="1" applyFont="1">
      <alignment horizontal="center" readingOrder="0" shrinkToFit="0" vertical="center" wrapText="1"/>
    </xf>
    <xf borderId="1" fillId="8" fontId="3" numFmtId="164" xfId="0" applyAlignment="1" applyBorder="1" applyFont="1" applyNumberFormat="1">
      <alignment horizontal="center" readingOrder="0" shrinkToFit="0" vertical="center" wrapText="1"/>
    </xf>
    <xf borderId="0" fillId="0" fontId="4" numFmtId="0" xfId="0" applyAlignment="1" applyFont="1">
      <alignment horizontal="center" readingOrder="0"/>
    </xf>
    <xf borderId="2" fillId="3" fontId="1" numFmtId="0" xfId="0" applyAlignment="1" applyBorder="1" applyFont="1">
      <alignment horizontal="center" readingOrder="0" shrinkToFit="0" vertical="center" wrapText="1"/>
    </xf>
    <xf borderId="1" fillId="8" fontId="6" numFmtId="0" xfId="0" applyAlignment="1" applyBorder="1" applyFont="1">
      <alignment horizontal="center" readingOrder="0" vertical="center"/>
    </xf>
    <xf borderId="1" fillId="8" fontId="3" numFmtId="3" xfId="0" applyAlignment="1" applyBorder="1" applyFont="1" applyNumberFormat="1">
      <alignment horizontal="center" readingOrder="0" shrinkToFit="0" vertical="center" wrapText="1"/>
    </xf>
    <xf borderId="1" fillId="8" fontId="3" numFmtId="164" xfId="0" applyAlignment="1" applyBorder="1" applyFont="1" applyNumberFormat="1">
      <alignment horizontal="center" readingOrder="0" shrinkToFit="0" wrapText="1"/>
    </xf>
    <xf borderId="1" fillId="0" fontId="3" numFmtId="3" xfId="0" applyAlignment="1" applyBorder="1" applyFont="1" applyNumberForma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10" fontId="2" numFmtId="164" xfId="0" applyAlignment="1" applyBorder="1" applyFill="1" applyFont="1" applyNumberFormat="1">
      <alignment horizontal="center" readingOrder="0" vertical="center"/>
    </xf>
    <xf borderId="1" fillId="11" fontId="4" numFmtId="0" xfId="0" applyAlignment="1" applyBorder="1" applyFill="1" applyFont="1">
      <alignment horizontal="center"/>
    </xf>
    <xf borderId="1" fillId="0" fontId="4" numFmtId="0" xfId="0" applyAlignment="1" applyBorder="1" applyFont="1">
      <alignment horizontal="center" readingOrder="0" shrinkToFit="0" wrapText="1"/>
    </xf>
    <xf borderId="0" fillId="10" fontId="5" numFmtId="0" xfId="0" applyAlignment="1" applyFont="1">
      <alignment horizontal="center" readingOrder="0"/>
    </xf>
    <xf borderId="1" fillId="3" fontId="8" numFmtId="0" xfId="0" applyAlignment="1" applyBorder="1" applyFont="1">
      <alignment horizontal="center" readingOrder="0" shrinkToFit="0" vertical="center" wrapText="1"/>
    </xf>
    <xf borderId="1" fillId="11" fontId="4" numFmtId="0" xfId="0" applyAlignment="1" applyBorder="1" applyFont="1">
      <alignment horizontal="center" readingOrder="0" shrinkToFit="0" wrapText="1"/>
    </xf>
    <xf borderId="2" fillId="8" fontId="6" numFmtId="0" xfId="0" applyAlignment="1" applyBorder="1" applyFont="1">
      <alignment horizontal="center" readingOrder="0" vertical="center"/>
    </xf>
    <xf borderId="2" fillId="8" fontId="4" numFmtId="0" xfId="0" applyAlignment="1" applyBorder="1" applyFont="1">
      <alignment horizontal="center" readingOrder="0" shrinkToFit="0" wrapText="1"/>
    </xf>
    <xf borderId="0" fillId="8" fontId="4" numFmtId="0" xfId="0" applyAlignment="1" applyFont="1">
      <alignment horizontal="center"/>
    </xf>
    <xf borderId="0" fillId="8" fontId="4" numFmtId="0" xfId="0" applyAlignment="1" applyFont="1">
      <alignment horizontal="center" readingOrder="0"/>
    </xf>
    <xf borderId="1" fillId="8" fontId="9" numFmtId="0" xfId="0" applyAlignment="1" applyBorder="1" applyFont="1">
      <alignment horizontal="center" readingOrder="0" vertical="center"/>
    </xf>
    <xf borderId="1" fillId="8" fontId="3" numFmtId="164" xfId="0" applyAlignment="1" applyBorder="1" applyFont="1" applyNumberFormat="1">
      <alignment horizontal="center" shrinkToFit="0" vertical="center" wrapText="1"/>
    </xf>
    <xf borderId="1" fillId="0" fontId="3" numFmtId="164" xfId="0" applyAlignment="1" applyBorder="1" applyFont="1" applyNumberFormat="1">
      <alignment horizontal="center" shrinkToFit="0" vertical="center" wrapText="1"/>
    </xf>
    <xf borderId="1" fillId="0" fontId="2" numFmtId="9" xfId="0" applyAlignment="1" applyBorder="1" applyFont="1" applyNumberFormat="1">
      <alignment horizontal="center" readingOrder="0" vertical="center"/>
    </xf>
    <xf borderId="1" fillId="8" fontId="5" numFmtId="0" xfId="0" applyAlignment="1" applyBorder="1" applyFont="1">
      <alignment horizontal="center" readingOrder="0" shrinkToFit="0" wrapText="1"/>
    </xf>
    <xf borderId="1" fillId="3" fontId="1" numFmtId="0" xfId="0" applyAlignment="1" applyBorder="1" applyFont="1">
      <alignment horizontal="center" readingOrder="0" shrinkToFit="0" vertical="bottom" wrapText="1"/>
    </xf>
    <xf borderId="1" fillId="8" fontId="6" numFmtId="0" xfId="0" applyAlignment="1" applyBorder="1" applyFont="1">
      <alignment horizontal="center" readingOrder="0" shrinkToFit="0" vertical="bottom" wrapText="1"/>
    </xf>
    <xf borderId="1" fillId="8" fontId="3" numFmtId="3" xfId="0" applyAlignment="1" applyBorder="1" applyFont="1" applyNumberFormat="1">
      <alignment horizontal="center"/>
    </xf>
    <xf borderId="1" fillId="8" fontId="3" numFmtId="0" xfId="0" applyAlignment="1" applyBorder="1" applyFont="1">
      <alignment horizontal="center"/>
    </xf>
    <xf borderId="1" fillId="8" fontId="3" numFmtId="0" xfId="0" applyAlignment="1" applyBorder="1" applyFont="1">
      <alignment horizontal="center" shrinkToFit="0" wrapText="1"/>
    </xf>
    <xf borderId="1" fillId="8" fontId="2" numFmtId="164" xfId="0" applyAlignment="1" applyBorder="1" applyFont="1" applyNumberFormat="1">
      <alignment horizontal="center" readingOrder="0"/>
    </xf>
    <xf borderId="1" fillId="8" fontId="3" numFmtId="164" xfId="0" applyAlignment="1" applyBorder="1" applyFont="1" applyNumberFormat="1">
      <alignment horizontal="center" shrinkToFit="0" wrapText="1"/>
    </xf>
    <xf borderId="2" fillId="3" fontId="1" numFmtId="0" xfId="0" applyAlignment="1" applyBorder="1" applyFont="1">
      <alignment horizontal="center" shrinkToFit="0" vertical="bottom" wrapText="1"/>
    </xf>
    <xf borderId="1" fillId="8" fontId="6" numFmtId="0" xfId="0" applyAlignment="1" applyBorder="1" applyFont="1">
      <alignment horizontal="center" readingOrder="0" vertical="bottom"/>
    </xf>
    <xf borderId="0" fillId="8" fontId="4" numFmtId="0" xfId="0" applyFont="1"/>
    <xf borderId="1" fillId="3" fontId="1" numFmtId="0" xfId="0" applyAlignment="1" applyBorder="1" applyFont="1">
      <alignment horizontal="center" shrinkToFit="0" vertical="bottom" wrapText="1"/>
    </xf>
    <xf borderId="1" fillId="8" fontId="6" numFmtId="0" xfId="0" applyAlignment="1" applyBorder="1" applyFont="1">
      <alignment horizontal="center" vertical="bottom"/>
    </xf>
    <xf borderId="1" fillId="0" fontId="6" numFmtId="0" xfId="0" applyAlignment="1" applyBorder="1" applyFont="1">
      <alignment horizontal="center" vertical="bottom"/>
    </xf>
    <xf borderId="1" fillId="0" fontId="3" numFmtId="3" xfId="0" applyAlignment="1" applyBorder="1" applyFont="1" applyNumberFormat="1">
      <alignment horizontal="center"/>
    </xf>
    <xf borderId="1" fillId="0" fontId="3" numFmtId="0" xfId="0" applyAlignment="1" applyBorder="1" applyFont="1">
      <alignment horizontal="center"/>
    </xf>
    <xf borderId="1" fillId="0" fontId="3" numFmtId="0" xfId="0" applyAlignment="1" applyBorder="1" applyFont="1">
      <alignment horizontal="center" shrinkToFit="0" wrapText="1"/>
    </xf>
    <xf borderId="1" fillId="0" fontId="2" numFmtId="164" xfId="0" applyAlignment="1" applyBorder="1" applyFont="1" applyNumberFormat="1">
      <alignment horizontal="center"/>
    </xf>
    <xf borderId="1" fillId="0" fontId="3" numFmtId="164" xfId="0" applyAlignment="1" applyBorder="1" applyFont="1" applyNumberFormat="1">
      <alignment horizontal="center" shrinkToFit="0" wrapText="1"/>
    </xf>
    <xf borderId="1" fillId="0" fontId="3" numFmtId="165" xfId="0" applyAlignment="1" applyBorder="1" applyFont="1" applyNumberFormat="1">
      <alignment horizontal="center" shrinkToFit="0" wrapText="1"/>
    </xf>
    <xf borderId="1" fillId="8" fontId="3" numFmtId="165" xfId="0" applyAlignment="1" applyBorder="1" applyFont="1" applyNumberFormat="1">
      <alignment horizontal="center" shrinkToFit="0" wrapText="1"/>
    </xf>
    <xf borderId="1" fillId="8" fontId="5" numFmtId="0" xfId="0" applyAlignment="1" applyBorder="1" applyFont="1">
      <alignment horizontal="center" readingOrder="0"/>
    </xf>
    <xf borderId="1" fillId="0" fontId="6" numFmtId="0" xfId="0" applyAlignment="1" applyBorder="1" applyFont="1">
      <alignment horizontal="center" readingOrder="0" vertical="center"/>
    </xf>
    <xf borderId="1" fillId="0" fontId="2" numFmtId="164" xfId="0" applyAlignment="1" applyBorder="1" applyFont="1" applyNumberFormat="1">
      <alignment horizontal="center" vertical="center"/>
    </xf>
    <xf borderId="1" fillId="0" fontId="10" numFmtId="0" xfId="0" applyAlignment="1" applyBorder="1" applyFont="1">
      <alignment horizontal="center" vertical="bottom"/>
    </xf>
    <xf borderId="1" fillId="0" fontId="4" numFmtId="3" xfId="0" applyAlignment="1" applyBorder="1" applyFont="1" applyNumberFormat="1">
      <alignment horizontal="center"/>
    </xf>
    <xf borderId="1" fillId="0" fontId="5" numFmtId="164" xfId="0" applyAlignment="1" applyBorder="1" applyFont="1" applyNumberFormat="1">
      <alignment horizontal="center" readingOrder="0"/>
    </xf>
    <xf borderId="1" fillId="0" fontId="4" numFmtId="164" xfId="0" applyAlignment="1" applyBorder="1" applyFont="1" applyNumberFormat="1">
      <alignment horizontal="center" shrinkToFit="0" wrapText="1"/>
    </xf>
    <xf borderId="1" fillId="0" fontId="4" numFmtId="165" xfId="0" applyAlignment="1" applyBorder="1" applyFont="1" applyNumberFormat="1">
      <alignment horizontal="center" shrinkToFit="0" wrapText="1"/>
    </xf>
    <xf borderId="1" fillId="8" fontId="10" numFmtId="0" xfId="0" applyAlignment="1" applyBorder="1" applyFont="1">
      <alignment horizontal="center" vertical="bottom"/>
    </xf>
    <xf borderId="1" fillId="8" fontId="4" numFmtId="3" xfId="0" applyAlignment="1" applyBorder="1" applyFont="1" applyNumberFormat="1">
      <alignment horizontal="center"/>
    </xf>
    <xf borderId="1" fillId="8" fontId="5" numFmtId="164" xfId="0" applyAlignment="1" applyBorder="1" applyFont="1" applyNumberFormat="1">
      <alignment horizontal="center" readingOrder="0"/>
    </xf>
    <xf borderId="1" fillId="8" fontId="4" numFmtId="164" xfId="0" applyAlignment="1" applyBorder="1" applyFont="1" applyNumberFormat="1">
      <alignment horizontal="center" shrinkToFit="0" wrapText="1"/>
    </xf>
    <xf borderId="3" fillId="0" fontId="4" numFmtId="0" xfId="0" applyAlignment="1" applyBorder="1" applyFont="1">
      <alignment horizontal="center"/>
    </xf>
    <xf borderId="0" fillId="12" fontId="11" numFmtId="0" xfId="0" applyAlignment="1" applyFill="1" applyFont="1">
      <alignment horizontal="center" readingOrder="0" shrinkToFit="0" wrapText="1"/>
    </xf>
    <xf borderId="0" fillId="12" fontId="11" numFmtId="0" xfId="0" applyAlignment="1" applyFont="1">
      <alignment horizontal="center"/>
    </xf>
    <xf borderId="0" fillId="12" fontId="11" numFmtId="3" xfId="0" applyAlignment="1" applyFont="1" applyNumberFormat="1">
      <alignment horizontal="center"/>
    </xf>
    <xf borderId="0" fillId="12" fontId="11" numFmtId="0" xfId="0" applyAlignment="1" applyFont="1">
      <alignment horizontal="center" shrinkToFit="0" wrapText="1"/>
    </xf>
    <xf borderId="0" fillId="12" fontId="11" numFmtId="164" xfId="0" applyAlignment="1" applyFont="1" applyNumberFormat="1">
      <alignment horizontal="center"/>
    </xf>
    <xf borderId="0" fillId="12" fontId="11" numFmtId="164" xfId="0" applyAlignment="1" applyFont="1" applyNumberFormat="1">
      <alignment horizontal="center" shrinkToFit="0" wrapText="1"/>
    </xf>
    <xf borderId="0" fillId="12" fontId="11" numFmtId="165" xfId="0" applyAlignment="1" applyFont="1" applyNumberFormat="1">
      <alignment horizontal="center" shrinkToFit="0" wrapText="1"/>
    </xf>
    <xf borderId="1" fillId="12" fontId="11" numFmtId="164" xfId="0" applyAlignment="1" applyBorder="1" applyFont="1" applyNumberFormat="1">
      <alignment horizontal="center" readingOrder="0" vertical="center"/>
    </xf>
    <xf borderId="3" fillId="12" fontId="11" numFmtId="0" xfId="0" applyAlignment="1" applyBorder="1" applyFont="1">
      <alignment horizontal="center"/>
    </xf>
    <xf borderId="0" fillId="12" fontId="11" numFmtId="0" xfId="0" applyAlignment="1" applyFont="1">
      <alignment horizontal="center" readingOrder="0" shrinkToFit="0" wrapText="1"/>
    </xf>
    <xf borderId="0" fillId="0" fontId="4" numFmtId="3" xfId="0" applyAlignment="1" applyFont="1" applyNumberFormat="1">
      <alignment horizontal="center"/>
    </xf>
    <xf borderId="0" fillId="0" fontId="4" numFmtId="0" xfId="0" applyAlignment="1" applyFont="1">
      <alignment horizontal="center" shrinkToFit="0" wrapText="1"/>
    </xf>
    <xf borderId="0" fillId="0" fontId="5" numFmtId="164" xfId="0" applyAlignment="1" applyFont="1" applyNumberFormat="1">
      <alignment horizontal="center"/>
    </xf>
    <xf borderId="0" fillId="0" fontId="4" numFmtId="164" xfId="0" applyAlignment="1" applyFont="1" applyNumberFormat="1">
      <alignment horizontal="center" shrinkToFit="0" wrapText="1"/>
    </xf>
    <xf borderId="0" fillId="0" fontId="4" numFmtId="165" xfId="0" applyAlignment="1" applyFont="1" applyNumberFormat="1">
      <alignment horizontal="center" shrinkToFit="0" wrapText="1"/>
    </xf>
    <xf borderId="0" fillId="0" fontId="12" numFmtId="0" xfId="0" applyAlignment="1" applyFont="1">
      <alignment horizontal="center" readingOrder="0" shrinkToFit="0" wrapText="1"/>
    </xf>
    <xf borderId="0" fillId="0" fontId="5" numFmtId="164" xfId="0" applyAlignment="1" applyFont="1" applyNumberFormat="1">
      <alignment horizontal="center" readingOrder="0" vertical="center"/>
    </xf>
    <xf borderId="0" fillId="0" fontId="4" numFmtId="164" xfId="0" applyAlignment="1" applyFont="1" applyNumberFormat="1">
      <alignment horizontal="center" readingOrder="0" shrinkToFit="0" vertical="center" wrapText="1"/>
    </xf>
    <xf borderId="0" fillId="0" fontId="4" numFmtId="0" xfId="0" applyAlignment="1" applyFont="1">
      <alignment horizontal="center" readingOrder="0" shrinkToFit="0" wrapText="1"/>
    </xf>
    <xf borderId="0" fillId="0" fontId="5" numFmtId="164" xfId="0" applyAlignment="1" applyFont="1" applyNumberFormat="1">
      <alignment horizontal="center" readingOrder="0"/>
    </xf>
    <xf borderId="0" fillId="0" fontId="4" numFmtId="164" xfId="0" applyAlignment="1" applyFont="1" applyNumberFormat="1">
      <alignment horizontal="center" readingOrder="0" shrinkToFit="0" wrapText="1"/>
    </xf>
    <xf borderId="0" fillId="0" fontId="4" numFmtId="3" xfId="0" applyAlignment="1" applyFont="1" applyNumberFormat="1">
      <alignment horizontal="center" readingOrder="0"/>
    </xf>
    <xf borderId="0" fillId="0" fontId="12" numFmtId="0" xfId="0" applyAlignment="1" applyFont="1">
      <alignment horizontal="center" readingOrder="0" shrinkToFit="0" vertical="bottom" wrapText="1"/>
    </xf>
    <xf borderId="0" fillId="0" fontId="5" numFmtId="164" xfId="0" applyAlignment="1" applyFont="1" applyNumberFormat="1">
      <alignment horizontal="center" readingOrder="0" shrinkToFit="0" vertical="bottom" wrapText="0"/>
    </xf>
    <xf borderId="0" fillId="0" fontId="5" numFmtId="164" xfId="0" applyAlignment="1" applyFont="1" applyNumberFormat="1">
      <alignment horizontal="center" readingOrder="0" shrinkToFit="0" vertical="bottom" wrapText="1"/>
    </xf>
    <xf borderId="0" fillId="0" fontId="13" numFmtId="0" xfId="0" applyAlignment="1" applyFont="1">
      <alignment horizontal="center" readingOrder="0" shrinkToFit="0" wrapText="1"/>
    </xf>
    <xf borderId="0" fillId="0" fontId="10" numFmtId="0" xfId="0" applyAlignment="1" applyFont="1">
      <alignment horizontal="center" readingOrder="0" shrinkToFit="0" vertical="bottom" wrapText="1"/>
    </xf>
    <xf borderId="4" fillId="0" fontId="4" numFmtId="0" xfId="0" applyAlignment="1" applyBorder="1" applyFont="1">
      <alignment horizontal="center"/>
    </xf>
    <xf borderId="0" fillId="0" fontId="4" numFmtId="0" xfId="0" applyAlignment="1" applyFont="1">
      <alignment readingOrder="0"/>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16.63"/>
    <col customWidth="1" hidden="1" min="3" max="3" width="13.13"/>
    <col customWidth="1" hidden="1" min="4" max="4" width="12.0"/>
    <col customWidth="1" hidden="1" min="5" max="5" width="9.88"/>
    <col customWidth="1" hidden="1" min="6" max="6" width="7.25"/>
    <col customWidth="1" hidden="1" min="7" max="7" width="15.75"/>
    <col customWidth="1" hidden="1" min="8" max="8" width="18.88"/>
    <col customWidth="1" min="9" max="9" width="25.13"/>
    <col customWidth="1" min="10" max="10" width="22.38"/>
    <col customWidth="1" min="11" max="11" width="48.25"/>
    <col customWidth="1" min="12" max="14" width="30.88"/>
    <col hidden="1" min="15" max="15" width="12.63"/>
    <col customWidth="1" min="16" max="16" width="33.88"/>
    <col customWidth="1" min="17" max="17" width="35.13"/>
  </cols>
  <sheetData>
    <row r="1">
      <c r="A1" s="1" t="s">
        <v>0</v>
      </c>
      <c r="B1" s="1" t="s">
        <v>1</v>
      </c>
      <c r="C1" s="2" t="s">
        <v>2</v>
      </c>
      <c r="D1" s="3" t="s">
        <v>3</v>
      </c>
      <c r="E1" s="3" t="s">
        <v>4</v>
      </c>
      <c r="F1" s="3" t="s">
        <v>5</v>
      </c>
      <c r="G1" s="4" t="s">
        <v>6</v>
      </c>
      <c r="H1" s="5" t="s">
        <v>7</v>
      </c>
      <c r="I1" s="6" t="s">
        <v>8</v>
      </c>
      <c r="J1" s="7" t="s">
        <v>9</v>
      </c>
      <c r="K1" s="7" t="s">
        <v>10</v>
      </c>
      <c r="L1" s="8" t="s">
        <v>11</v>
      </c>
      <c r="M1" s="8" t="s">
        <v>12</v>
      </c>
      <c r="N1" s="8" t="s">
        <v>13</v>
      </c>
      <c r="O1" s="9" t="s">
        <v>14</v>
      </c>
      <c r="P1" s="10" t="s">
        <v>15</v>
      </c>
      <c r="Q1" s="11" t="s">
        <v>4</v>
      </c>
      <c r="R1" s="12"/>
      <c r="S1" s="12"/>
      <c r="T1" s="12"/>
      <c r="U1" s="12"/>
      <c r="V1" s="12"/>
      <c r="W1" s="12"/>
      <c r="X1" s="12"/>
      <c r="Y1" s="12"/>
      <c r="Z1" s="12"/>
      <c r="AA1" s="12"/>
      <c r="AB1" s="12"/>
      <c r="AC1" s="12"/>
      <c r="AD1" s="12"/>
      <c r="AE1" s="12"/>
      <c r="AF1" s="12"/>
      <c r="AG1" s="12"/>
    </row>
    <row r="2">
      <c r="A2" s="13" t="s">
        <v>16</v>
      </c>
      <c r="B2" s="14" t="s">
        <v>17</v>
      </c>
      <c r="C2" s="15"/>
      <c r="D2" s="16"/>
      <c r="E2" s="17"/>
      <c r="F2" s="16"/>
      <c r="G2" s="18"/>
      <c r="H2" s="16"/>
      <c r="I2" s="19">
        <v>80000.0</v>
      </c>
      <c r="J2" s="20">
        <f t="shared" ref="J2:J15" si="1">I2*1.18</f>
        <v>94400</v>
      </c>
      <c r="K2" s="21" t="s">
        <v>18</v>
      </c>
      <c r="L2" s="22">
        <v>0.9</v>
      </c>
      <c r="M2" s="23">
        <v>84960.0</v>
      </c>
      <c r="N2" s="24">
        <f t="shared" ref="N2:N3" si="2">J2-M2</f>
        <v>9440</v>
      </c>
      <c r="O2" s="25"/>
      <c r="P2" s="26"/>
      <c r="Q2" s="27" t="s">
        <v>19</v>
      </c>
      <c r="R2" s="28"/>
      <c r="S2" s="28"/>
      <c r="V2" s="29"/>
      <c r="W2" s="28"/>
      <c r="X2" s="28"/>
      <c r="Y2" s="28"/>
      <c r="Z2" s="28"/>
      <c r="AA2" s="28"/>
      <c r="AB2" s="28"/>
      <c r="AC2" s="28"/>
      <c r="AD2" s="28"/>
      <c r="AE2" s="28"/>
      <c r="AF2" s="28"/>
      <c r="AG2" s="28"/>
    </row>
    <row r="3">
      <c r="A3" s="13" t="s">
        <v>20</v>
      </c>
      <c r="B3" s="30"/>
      <c r="C3" s="31"/>
      <c r="D3" s="32"/>
      <c r="E3" s="33"/>
      <c r="F3" s="32"/>
      <c r="G3" s="34"/>
      <c r="H3" s="32"/>
      <c r="I3" s="35">
        <v>8500.0</v>
      </c>
      <c r="J3" s="36">
        <f t="shared" si="1"/>
        <v>10030</v>
      </c>
      <c r="K3" s="36"/>
      <c r="L3" s="37">
        <v>1.0</v>
      </c>
      <c r="M3" s="35">
        <f>J3</f>
        <v>10030</v>
      </c>
      <c r="N3" s="35">
        <f t="shared" si="2"/>
        <v>0</v>
      </c>
      <c r="O3" s="38"/>
      <c r="P3" s="39" t="s">
        <v>21</v>
      </c>
      <c r="Q3" s="40" t="s">
        <v>22</v>
      </c>
      <c r="R3" s="28"/>
      <c r="S3" s="28"/>
      <c r="V3" s="29"/>
      <c r="W3" s="28"/>
      <c r="X3" s="28"/>
      <c r="Y3" s="28"/>
      <c r="Z3" s="28"/>
      <c r="AA3" s="28"/>
      <c r="AB3" s="28"/>
      <c r="AC3" s="28"/>
      <c r="AD3" s="28"/>
      <c r="AE3" s="28"/>
      <c r="AF3" s="28"/>
      <c r="AG3" s="28"/>
    </row>
    <row r="4">
      <c r="A4" s="13" t="s">
        <v>23</v>
      </c>
      <c r="B4" s="14" t="s">
        <v>24</v>
      </c>
      <c r="C4" s="17"/>
      <c r="D4" s="18"/>
      <c r="E4" s="17" t="s">
        <v>25</v>
      </c>
      <c r="F4" s="18"/>
      <c r="G4" s="18"/>
      <c r="H4" s="16"/>
      <c r="I4" s="41">
        <v>750429.66</v>
      </c>
      <c r="J4" s="20">
        <f t="shared" si="1"/>
        <v>885506.9988</v>
      </c>
      <c r="K4" s="42" t="s">
        <v>26</v>
      </c>
      <c r="L4" s="19"/>
      <c r="M4" s="23">
        <f>145396+312140.68+200000+67505.44+59000</f>
        <v>784042.12</v>
      </c>
      <c r="N4" s="24">
        <f>J4-M4-33300</f>
        <v>68164.8788</v>
      </c>
      <c r="O4" s="43"/>
      <c r="P4" s="44"/>
      <c r="Q4" s="27" t="s">
        <v>27</v>
      </c>
      <c r="R4" s="29"/>
      <c r="S4" s="28"/>
      <c r="T4" s="28"/>
      <c r="U4" s="28"/>
      <c r="V4" s="29"/>
      <c r="W4" s="28"/>
      <c r="X4" s="28"/>
      <c r="Y4" s="28"/>
      <c r="Z4" s="28"/>
      <c r="AA4" s="28"/>
      <c r="AB4" s="28"/>
      <c r="AC4" s="28"/>
      <c r="AD4" s="28"/>
      <c r="AE4" s="28"/>
      <c r="AF4" s="28"/>
      <c r="AG4" s="28"/>
    </row>
    <row r="5">
      <c r="A5" s="13" t="s">
        <v>28</v>
      </c>
      <c r="B5" s="45" t="s">
        <v>29</v>
      </c>
      <c r="C5" s="46"/>
      <c r="D5" s="47"/>
      <c r="E5" s="48"/>
      <c r="F5" s="48"/>
      <c r="G5" s="34"/>
      <c r="H5" s="34"/>
      <c r="I5" s="35">
        <v>47026.08</v>
      </c>
      <c r="J5" s="49">
        <f t="shared" si="1"/>
        <v>55490.7744</v>
      </c>
      <c r="K5" s="50"/>
      <c r="L5" s="35"/>
      <c r="M5" s="51">
        <f>90048+48019</f>
        <v>138067</v>
      </c>
      <c r="N5" s="51">
        <f>SUM(J5:J6)-138068</f>
        <v>-0.4126</v>
      </c>
      <c r="O5" s="38"/>
      <c r="P5" s="52"/>
      <c r="Q5" s="53" t="s">
        <v>30</v>
      </c>
      <c r="R5" s="28"/>
      <c r="S5" s="28"/>
      <c r="T5" s="28"/>
      <c r="U5" s="28"/>
      <c r="V5" s="28"/>
      <c r="W5" s="28"/>
      <c r="X5" s="28"/>
      <c r="Y5" s="28"/>
      <c r="Z5" s="28"/>
      <c r="AA5" s="28"/>
      <c r="AB5" s="28"/>
      <c r="AC5" s="28"/>
      <c r="AD5" s="28"/>
      <c r="AE5" s="28"/>
      <c r="AF5" s="28"/>
      <c r="AG5" s="28"/>
    </row>
    <row r="6">
      <c r="A6" s="13" t="s">
        <v>31</v>
      </c>
      <c r="B6" s="54"/>
      <c r="C6" s="46">
        <v>78374.0</v>
      </c>
      <c r="D6" s="47" t="s">
        <v>32</v>
      </c>
      <c r="E6" s="48" t="s">
        <v>33</v>
      </c>
      <c r="F6" s="48" t="s">
        <v>34</v>
      </c>
      <c r="G6" s="34" t="s">
        <v>35</v>
      </c>
      <c r="H6" s="34"/>
      <c r="I6" s="35">
        <v>69980.35</v>
      </c>
      <c r="J6" s="35">
        <f t="shared" si="1"/>
        <v>82576.813</v>
      </c>
      <c r="K6" s="50" t="s">
        <v>36</v>
      </c>
      <c r="L6" s="37">
        <v>1.0</v>
      </c>
      <c r="M6" s="55"/>
      <c r="N6" s="55"/>
      <c r="O6" s="38"/>
      <c r="P6" s="39" t="s">
        <v>37</v>
      </c>
      <c r="R6" s="28"/>
      <c r="S6" s="28"/>
      <c r="T6" s="28"/>
      <c r="U6" s="28"/>
      <c r="V6" s="28"/>
      <c r="W6" s="28"/>
      <c r="X6" s="28"/>
      <c r="Y6" s="28"/>
      <c r="Z6" s="28"/>
      <c r="AA6" s="28"/>
      <c r="AB6" s="28"/>
      <c r="AC6" s="28"/>
      <c r="AD6" s="28"/>
      <c r="AE6" s="28"/>
      <c r="AF6" s="28"/>
      <c r="AG6" s="28"/>
    </row>
    <row r="7" hidden="1">
      <c r="A7" s="56" t="s">
        <v>38</v>
      </c>
      <c r="B7" s="55"/>
      <c r="C7" s="57" t="s">
        <v>39</v>
      </c>
      <c r="D7" s="31"/>
      <c r="E7" s="57"/>
      <c r="F7" s="31"/>
      <c r="G7" s="32"/>
      <c r="H7" s="34"/>
      <c r="I7" s="58"/>
      <c r="J7" s="36">
        <f t="shared" si="1"/>
        <v>0</v>
      </c>
      <c r="K7" s="36"/>
      <c r="L7" s="35"/>
      <c r="M7" s="35"/>
      <c r="N7" s="35">
        <f t="shared" ref="N7:N8" si="3">I7-M7</f>
        <v>0</v>
      </c>
      <c r="O7" s="38"/>
      <c r="P7" s="59"/>
      <c r="Q7" s="40" t="s">
        <v>40</v>
      </c>
      <c r="R7" s="28"/>
      <c r="S7" s="28"/>
      <c r="T7" s="28"/>
      <c r="U7" s="28"/>
      <c r="V7" s="28"/>
      <c r="W7" s="28"/>
      <c r="X7" s="28"/>
      <c r="Y7" s="28"/>
      <c r="Z7" s="28"/>
      <c r="AA7" s="28"/>
      <c r="AB7" s="28"/>
      <c r="AC7" s="28"/>
      <c r="AD7" s="28"/>
      <c r="AE7" s="28"/>
      <c r="AF7" s="28"/>
      <c r="AG7" s="28"/>
    </row>
    <row r="8" hidden="1">
      <c r="A8" s="13" t="s">
        <v>41</v>
      </c>
      <c r="B8" s="14" t="s">
        <v>42</v>
      </c>
      <c r="C8" s="60" t="s">
        <v>43</v>
      </c>
      <c r="D8" s="15"/>
      <c r="E8" s="15"/>
      <c r="F8" s="15"/>
      <c r="G8" s="16"/>
      <c r="H8" s="18"/>
      <c r="I8" s="61"/>
      <c r="J8" s="20">
        <f t="shared" si="1"/>
        <v>0</v>
      </c>
      <c r="K8" s="20"/>
      <c r="L8" s="19"/>
      <c r="M8" s="19"/>
      <c r="N8" s="41">
        <f t="shared" si="3"/>
        <v>0</v>
      </c>
      <c r="O8" s="62"/>
      <c r="P8" s="63"/>
      <c r="Q8" s="27" t="s">
        <v>40</v>
      </c>
      <c r="R8" s="28"/>
      <c r="S8" s="28"/>
      <c r="T8" s="28"/>
      <c r="U8" s="28"/>
      <c r="V8" s="28"/>
      <c r="W8" s="28"/>
      <c r="X8" s="28"/>
      <c r="Y8" s="28"/>
      <c r="Z8" s="28"/>
      <c r="AA8" s="28"/>
      <c r="AB8" s="28"/>
      <c r="AC8" s="28"/>
      <c r="AD8" s="28"/>
      <c r="AE8" s="28"/>
      <c r="AF8" s="28"/>
      <c r="AG8" s="28"/>
    </row>
    <row r="9">
      <c r="A9" s="13" t="s">
        <v>44</v>
      </c>
      <c r="B9" s="64" t="s">
        <v>45</v>
      </c>
      <c r="C9" s="46"/>
      <c r="D9" s="47" t="s">
        <v>46</v>
      </c>
      <c r="E9" s="34" t="s">
        <v>47</v>
      </c>
      <c r="F9" s="34"/>
      <c r="G9" s="34" t="s">
        <v>48</v>
      </c>
      <c r="H9" s="47"/>
      <c r="I9" s="35">
        <v>77000.0</v>
      </c>
      <c r="J9" s="36">
        <f t="shared" si="1"/>
        <v>90860</v>
      </c>
      <c r="K9" s="65" t="s">
        <v>49</v>
      </c>
      <c r="L9" s="37">
        <v>1.0</v>
      </c>
      <c r="M9" s="35">
        <f>1*J9</f>
        <v>90860</v>
      </c>
      <c r="N9" s="35">
        <f t="shared" ref="N9:N13" si="4">J9-M9</f>
        <v>0</v>
      </c>
      <c r="O9" s="38"/>
      <c r="P9" s="39" t="s">
        <v>50</v>
      </c>
      <c r="Q9" s="40" t="s">
        <v>51</v>
      </c>
      <c r="R9" s="28"/>
      <c r="S9" s="28"/>
      <c r="T9" s="28"/>
      <c r="U9" s="66"/>
      <c r="V9" s="28"/>
      <c r="W9" s="28"/>
      <c r="X9" s="28"/>
      <c r="Y9" s="28"/>
      <c r="Z9" s="28"/>
      <c r="AA9" s="28"/>
      <c r="AB9" s="28"/>
      <c r="AC9" s="28"/>
      <c r="AD9" s="28"/>
      <c r="AE9" s="28"/>
      <c r="AF9" s="28"/>
      <c r="AG9" s="28"/>
    </row>
    <row r="10">
      <c r="A10" s="67" t="s">
        <v>52</v>
      </c>
      <c r="B10" s="68" t="s">
        <v>53</v>
      </c>
      <c r="C10" s="46"/>
      <c r="D10" s="47"/>
      <c r="E10" s="34"/>
      <c r="F10" s="34"/>
      <c r="G10" s="34"/>
      <c r="H10" s="47"/>
      <c r="I10" s="50">
        <v>1440.0</v>
      </c>
      <c r="J10" s="36">
        <f t="shared" si="1"/>
        <v>1699.2</v>
      </c>
      <c r="K10" s="50" t="s">
        <v>54</v>
      </c>
      <c r="L10" s="37">
        <v>1.0</v>
      </c>
      <c r="M10" s="35">
        <f t="shared" ref="M10:M12" si="5">J10</f>
        <v>1699.2</v>
      </c>
      <c r="N10" s="35">
        <f t="shared" si="4"/>
        <v>0</v>
      </c>
      <c r="O10" s="38"/>
      <c r="P10" s="39" t="s">
        <v>55</v>
      </c>
      <c r="Q10" s="40" t="s">
        <v>56</v>
      </c>
      <c r="R10" s="28"/>
      <c r="S10" s="28"/>
      <c r="T10" s="28"/>
      <c r="U10" s="66"/>
      <c r="V10" s="28"/>
      <c r="W10" s="28"/>
      <c r="X10" s="28"/>
      <c r="Y10" s="28"/>
      <c r="Z10" s="28"/>
      <c r="AA10" s="28"/>
      <c r="AB10" s="28"/>
      <c r="AC10" s="28"/>
      <c r="AD10" s="28"/>
      <c r="AE10" s="28"/>
      <c r="AF10" s="28"/>
      <c r="AG10" s="28"/>
    </row>
    <row r="11">
      <c r="A11" s="55"/>
      <c r="B11" s="68" t="s">
        <v>57</v>
      </c>
      <c r="C11" s="46">
        <v>86000.0</v>
      </c>
      <c r="D11" s="47" t="s">
        <v>32</v>
      </c>
      <c r="E11" s="34" t="s">
        <v>58</v>
      </c>
      <c r="F11" s="34"/>
      <c r="G11" s="34" t="s">
        <v>59</v>
      </c>
      <c r="H11" s="47"/>
      <c r="I11" s="50">
        <f>29449.15+1014.40678</f>
        <v>30463.55678</v>
      </c>
      <c r="J11" s="36">
        <f t="shared" si="1"/>
        <v>35946.997</v>
      </c>
      <c r="K11" s="50" t="s">
        <v>60</v>
      </c>
      <c r="L11" s="37">
        <v>1.0</v>
      </c>
      <c r="M11" s="35">
        <f t="shared" si="5"/>
        <v>35946.997</v>
      </c>
      <c r="N11" s="35">
        <f t="shared" si="4"/>
        <v>0</v>
      </c>
      <c r="O11" s="38"/>
      <c r="P11" s="39" t="s">
        <v>61</v>
      </c>
      <c r="Q11" s="40" t="s">
        <v>62</v>
      </c>
      <c r="R11" s="28"/>
      <c r="S11" s="28"/>
      <c r="T11" s="28"/>
      <c r="U11" s="66"/>
      <c r="V11" s="28"/>
      <c r="W11" s="28"/>
      <c r="X11" s="28"/>
      <c r="Y11" s="28"/>
      <c r="Z11" s="28"/>
      <c r="AA11" s="28"/>
      <c r="AB11" s="28"/>
      <c r="AC11" s="28"/>
      <c r="AD11" s="28"/>
      <c r="AE11" s="28"/>
      <c r="AF11" s="28"/>
      <c r="AG11" s="28"/>
    </row>
    <row r="12">
      <c r="A12" s="13" t="s">
        <v>63</v>
      </c>
      <c r="B12" s="68" t="s">
        <v>64</v>
      </c>
      <c r="C12" s="46">
        <v>58355.0</v>
      </c>
      <c r="D12" s="47" t="s">
        <v>46</v>
      </c>
      <c r="E12" s="34" t="s">
        <v>65</v>
      </c>
      <c r="F12" s="47"/>
      <c r="G12" s="34"/>
      <c r="H12" s="32"/>
      <c r="I12" s="35">
        <v>23791.0</v>
      </c>
      <c r="J12" s="36">
        <f t="shared" si="1"/>
        <v>28073.38</v>
      </c>
      <c r="K12" s="36"/>
      <c r="L12" s="37">
        <v>1.0</v>
      </c>
      <c r="M12" s="35">
        <f t="shared" si="5"/>
        <v>28073.38</v>
      </c>
      <c r="N12" s="35">
        <f t="shared" si="4"/>
        <v>0</v>
      </c>
      <c r="O12" s="38"/>
      <c r="P12" s="39" t="s">
        <v>66</v>
      </c>
      <c r="Q12" s="40" t="s">
        <v>67</v>
      </c>
      <c r="R12" s="28"/>
      <c r="S12" s="28"/>
      <c r="T12" s="28"/>
      <c r="U12" s="28"/>
      <c r="V12" s="28"/>
      <c r="W12" s="28"/>
      <c r="X12" s="28"/>
      <c r="Y12" s="28"/>
      <c r="Z12" s="28"/>
      <c r="AA12" s="28"/>
      <c r="AB12" s="28"/>
      <c r="AC12" s="28"/>
      <c r="AD12" s="28"/>
      <c r="AE12" s="28"/>
      <c r="AF12" s="28"/>
      <c r="AG12" s="28"/>
    </row>
    <row r="13">
      <c r="A13" s="13" t="s">
        <v>68</v>
      </c>
      <c r="B13" s="68" t="s">
        <v>64</v>
      </c>
      <c r="C13" s="46"/>
      <c r="D13" s="47"/>
      <c r="E13" s="34"/>
      <c r="F13" s="47"/>
      <c r="G13" s="34"/>
      <c r="H13" s="32"/>
      <c r="I13" s="35">
        <v>748.305</v>
      </c>
      <c r="J13" s="36">
        <f t="shared" si="1"/>
        <v>882.9999</v>
      </c>
      <c r="K13" s="36"/>
      <c r="L13" s="37">
        <v>1.0</v>
      </c>
      <c r="M13" s="35">
        <v>883.0</v>
      </c>
      <c r="N13" s="35">
        <f t="shared" si="4"/>
        <v>-0.0001000000001</v>
      </c>
      <c r="O13" s="38"/>
      <c r="P13" s="39"/>
      <c r="Q13" s="40" t="s">
        <v>69</v>
      </c>
      <c r="R13" s="28"/>
      <c r="S13" s="28"/>
      <c r="T13" s="28"/>
      <c r="U13" s="28"/>
      <c r="V13" s="28"/>
      <c r="W13" s="28"/>
      <c r="X13" s="28"/>
      <c r="Y13" s="28"/>
      <c r="Z13" s="28"/>
      <c r="AA13" s="28"/>
      <c r="AB13" s="28"/>
      <c r="AC13" s="28"/>
      <c r="AD13" s="28"/>
      <c r="AE13" s="28"/>
      <c r="AF13" s="28"/>
      <c r="AG13" s="28"/>
    </row>
    <row r="14">
      <c r="A14" s="13" t="s">
        <v>70</v>
      </c>
      <c r="B14" s="68" t="s">
        <v>71</v>
      </c>
      <c r="C14" s="69"/>
      <c r="D14" s="47"/>
      <c r="E14" s="34"/>
      <c r="F14" s="34"/>
      <c r="G14" s="34"/>
      <c r="H14" s="47"/>
      <c r="I14" s="35">
        <v>16160.0</v>
      </c>
      <c r="J14" s="36">
        <f t="shared" si="1"/>
        <v>19068.8</v>
      </c>
      <c r="K14" s="70" t="s">
        <v>72</v>
      </c>
      <c r="L14" s="37">
        <v>1.0</v>
      </c>
      <c r="M14" s="35">
        <f>4698+14371</f>
        <v>19069</v>
      </c>
      <c r="N14" s="35">
        <f>SUM(J14-M14)</f>
        <v>-0.2</v>
      </c>
      <c r="O14" s="38"/>
      <c r="P14" s="39" t="s">
        <v>73</v>
      </c>
      <c r="Q14" s="40" t="s">
        <v>74</v>
      </c>
      <c r="R14" s="28"/>
      <c r="S14" s="28"/>
      <c r="T14" s="28"/>
      <c r="U14" s="28"/>
      <c r="V14" s="28"/>
      <c r="W14" s="28"/>
      <c r="X14" s="28"/>
      <c r="Y14" s="28"/>
      <c r="Z14" s="28"/>
      <c r="AA14" s="28"/>
      <c r="AB14" s="28"/>
      <c r="AC14" s="28"/>
      <c r="AD14" s="28"/>
      <c r="AE14" s="28"/>
      <c r="AF14" s="28"/>
      <c r="AG14" s="28"/>
    </row>
    <row r="15">
      <c r="A15" s="13" t="s">
        <v>75</v>
      </c>
      <c r="B15" s="14"/>
      <c r="C15" s="71">
        <v>368000.0</v>
      </c>
      <c r="D15" s="72" t="s">
        <v>32</v>
      </c>
      <c r="E15" s="73" t="s">
        <v>47</v>
      </c>
      <c r="F15" s="18" t="s">
        <v>76</v>
      </c>
      <c r="G15" s="18" t="s">
        <v>77</v>
      </c>
      <c r="H15" s="18"/>
      <c r="I15" s="41">
        <v>187400.0</v>
      </c>
      <c r="J15" s="20">
        <f t="shared" si="1"/>
        <v>221132</v>
      </c>
      <c r="K15" s="21"/>
      <c r="L15" s="41"/>
      <c r="M15" s="74">
        <v>165490.0</v>
      </c>
      <c r="N15" s="24">
        <f t="shared" ref="N15:N17" si="6">J15-M15</f>
        <v>55642</v>
      </c>
      <c r="O15" s="75"/>
      <c r="P15" s="76" t="s">
        <v>78</v>
      </c>
      <c r="Q15" s="77" t="s">
        <v>79</v>
      </c>
      <c r="R15" s="28"/>
      <c r="S15" s="28"/>
      <c r="T15" s="28"/>
      <c r="U15" s="28"/>
      <c r="V15" s="28"/>
      <c r="W15" s="28"/>
      <c r="X15" s="28"/>
      <c r="Y15" s="28"/>
      <c r="Z15" s="28"/>
      <c r="AA15" s="28"/>
      <c r="AB15" s="28"/>
      <c r="AC15" s="28"/>
      <c r="AD15" s="28"/>
      <c r="AE15" s="28"/>
      <c r="AF15" s="28"/>
      <c r="AG15" s="28"/>
    </row>
    <row r="16">
      <c r="A16" s="13" t="s">
        <v>80</v>
      </c>
      <c r="B16" s="68" t="s">
        <v>81</v>
      </c>
      <c r="C16" s="46"/>
      <c r="D16" s="47" t="s">
        <v>32</v>
      </c>
      <c r="E16" s="34" t="s">
        <v>82</v>
      </c>
      <c r="F16" s="48"/>
      <c r="G16" s="32"/>
      <c r="H16" s="34"/>
      <c r="I16" s="35">
        <v>28377.12</v>
      </c>
      <c r="J16" s="65">
        <v>37412.0</v>
      </c>
      <c r="K16" s="70" t="s">
        <v>83</v>
      </c>
      <c r="L16" s="37">
        <v>1.0</v>
      </c>
      <c r="M16" s="35">
        <f>10000+27412</f>
        <v>37412</v>
      </c>
      <c r="N16" s="35">
        <f t="shared" si="6"/>
        <v>0</v>
      </c>
      <c r="O16" s="38"/>
      <c r="P16" s="39" t="s">
        <v>84</v>
      </c>
      <c r="Q16" s="40" t="s">
        <v>85</v>
      </c>
      <c r="R16" s="28"/>
      <c r="S16" s="28"/>
      <c r="T16" s="28"/>
      <c r="U16" s="28"/>
      <c r="V16" s="28"/>
      <c r="W16" s="28"/>
      <c r="X16" s="28"/>
      <c r="Y16" s="28"/>
      <c r="Z16" s="28"/>
      <c r="AA16" s="28"/>
      <c r="AB16" s="28"/>
      <c r="AC16" s="28"/>
      <c r="AD16" s="28"/>
      <c r="AE16" s="28"/>
      <c r="AF16" s="28"/>
      <c r="AG16" s="28"/>
    </row>
    <row r="17">
      <c r="A17" s="13" t="s">
        <v>86</v>
      </c>
      <c r="B17" s="68" t="s">
        <v>87</v>
      </c>
      <c r="C17" s="46">
        <v>79000.0</v>
      </c>
      <c r="D17" s="47" t="s">
        <v>32</v>
      </c>
      <c r="E17" s="34" t="s">
        <v>47</v>
      </c>
      <c r="F17" s="34"/>
      <c r="G17" s="34" t="s">
        <v>88</v>
      </c>
      <c r="H17" s="34"/>
      <c r="I17" s="35">
        <v>36951.0</v>
      </c>
      <c r="J17" s="36">
        <f t="shared" ref="J17:J21" si="7">I17*1.18</f>
        <v>43602.18</v>
      </c>
      <c r="K17" s="36"/>
      <c r="L17" s="37">
        <v>1.0</v>
      </c>
      <c r="M17" s="35">
        <f>1*J17</f>
        <v>43602.18</v>
      </c>
      <c r="N17" s="35">
        <f t="shared" si="6"/>
        <v>0</v>
      </c>
      <c r="O17" s="38"/>
      <c r="P17" s="39" t="s">
        <v>89</v>
      </c>
      <c r="Q17" s="40" t="s">
        <v>90</v>
      </c>
      <c r="R17" s="28"/>
      <c r="S17" s="28"/>
      <c r="T17" s="28"/>
      <c r="U17" s="28"/>
      <c r="V17" s="28"/>
      <c r="W17" s="28"/>
      <c r="X17" s="28"/>
      <c r="Y17" s="28"/>
      <c r="Z17" s="28"/>
      <c r="AA17" s="28"/>
      <c r="AB17" s="28"/>
      <c r="AC17" s="28"/>
      <c r="AD17" s="28"/>
      <c r="AE17" s="28"/>
      <c r="AF17" s="28"/>
      <c r="AG17" s="28"/>
    </row>
    <row r="18">
      <c r="A18" s="78" t="s">
        <v>91</v>
      </c>
      <c r="B18" s="47" t="s">
        <v>92</v>
      </c>
      <c r="C18" s="46"/>
      <c r="D18" s="47"/>
      <c r="E18" s="48"/>
      <c r="F18" s="31"/>
      <c r="G18" s="34"/>
      <c r="H18" s="47"/>
      <c r="I18" s="35">
        <v>21589.83</v>
      </c>
      <c r="J18" s="36">
        <f t="shared" si="7"/>
        <v>25475.9994</v>
      </c>
      <c r="K18" s="65" t="s">
        <v>93</v>
      </c>
      <c r="L18" s="37">
        <v>1.0</v>
      </c>
      <c r="M18" s="35">
        <f>12744+12530.85</f>
        <v>25274.85</v>
      </c>
      <c r="N18" s="35">
        <v>0.0</v>
      </c>
      <c r="O18" s="38"/>
      <c r="P18" s="52" t="s">
        <v>94</v>
      </c>
      <c r="Q18" s="40" t="s">
        <v>95</v>
      </c>
      <c r="R18" s="79" t="s">
        <v>96</v>
      </c>
      <c r="S18" s="28"/>
      <c r="T18" s="28"/>
      <c r="U18" s="28"/>
      <c r="V18" s="28"/>
      <c r="W18" s="28"/>
      <c r="X18" s="28"/>
      <c r="Y18" s="28"/>
      <c r="Z18" s="28"/>
      <c r="AA18" s="28"/>
      <c r="AB18" s="28"/>
      <c r="AC18" s="28"/>
      <c r="AD18" s="28"/>
      <c r="AE18" s="28"/>
      <c r="AF18" s="28"/>
      <c r="AG18" s="28"/>
    </row>
    <row r="19">
      <c r="A19" s="13" t="s">
        <v>97</v>
      </c>
      <c r="B19" s="80" t="s">
        <v>98</v>
      </c>
      <c r="C19" s="33"/>
      <c r="D19" s="34"/>
      <c r="E19" s="34"/>
      <c r="F19" s="34"/>
      <c r="G19" s="34"/>
      <c r="H19" s="32"/>
      <c r="I19" s="35">
        <v>8900.0</v>
      </c>
      <c r="J19" s="36">
        <f t="shared" si="7"/>
        <v>10502</v>
      </c>
      <c r="K19" s="39" t="s">
        <v>99</v>
      </c>
      <c r="L19" s="35"/>
      <c r="M19" s="35"/>
      <c r="N19" s="35"/>
      <c r="O19" s="38"/>
      <c r="P19" s="81" t="s">
        <v>100</v>
      </c>
      <c r="Q19" s="82"/>
      <c r="R19" s="28"/>
      <c r="S19" s="28"/>
      <c r="T19" s="28"/>
      <c r="U19" s="28"/>
      <c r="V19" s="28"/>
      <c r="W19" s="28"/>
      <c r="X19" s="28"/>
      <c r="Y19" s="28"/>
      <c r="Z19" s="28"/>
      <c r="AA19" s="28"/>
      <c r="AB19" s="28"/>
      <c r="AC19" s="28"/>
      <c r="AD19" s="28"/>
      <c r="AE19" s="28"/>
      <c r="AF19" s="28"/>
      <c r="AG19" s="28"/>
    </row>
    <row r="20">
      <c r="A20" s="13" t="s">
        <v>101</v>
      </c>
      <c r="B20" s="54"/>
      <c r="C20" s="33"/>
      <c r="D20" s="34"/>
      <c r="E20" s="34"/>
      <c r="F20" s="34"/>
      <c r="G20" s="34"/>
      <c r="H20" s="32"/>
      <c r="I20" s="35">
        <v>12000.0</v>
      </c>
      <c r="J20" s="36">
        <f t="shared" si="7"/>
        <v>14160</v>
      </c>
      <c r="K20" s="70" t="s">
        <v>102</v>
      </c>
      <c r="L20" s="35">
        <f>SUM(J19:J21)</f>
        <v>36698</v>
      </c>
      <c r="M20" s="35"/>
      <c r="N20" s="35"/>
      <c r="O20" s="38"/>
      <c r="P20" s="54"/>
      <c r="Q20" s="82"/>
      <c r="R20" s="28"/>
      <c r="S20" s="28"/>
      <c r="T20" s="28"/>
      <c r="U20" s="28"/>
      <c r="V20" s="28"/>
      <c r="W20" s="28"/>
      <c r="X20" s="28"/>
      <c r="Y20" s="28"/>
      <c r="Z20" s="28"/>
      <c r="AA20" s="28"/>
      <c r="AB20" s="28"/>
      <c r="AC20" s="28"/>
      <c r="AD20" s="28"/>
      <c r="AE20" s="28"/>
      <c r="AF20" s="28"/>
      <c r="AG20" s="28"/>
    </row>
    <row r="21">
      <c r="A21" s="13" t="s">
        <v>103</v>
      </c>
      <c r="B21" s="54"/>
      <c r="C21" s="33"/>
      <c r="D21" s="34"/>
      <c r="E21" s="34"/>
      <c r="F21" s="34"/>
      <c r="G21" s="34"/>
      <c r="H21" s="32"/>
      <c r="I21" s="35">
        <v>10200.0</v>
      </c>
      <c r="J21" s="36">
        <f t="shared" si="7"/>
        <v>12036</v>
      </c>
      <c r="K21" s="65" t="s">
        <v>104</v>
      </c>
      <c r="L21" s="35"/>
      <c r="M21" s="35"/>
      <c r="N21" s="35"/>
      <c r="O21" s="38"/>
      <c r="P21" s="54"/>
      <c r="Q21" s="82"/>
      <c r="R21" s="28"/>
      <c r="S21" s="28"/>
      <c r="T21" s="28"/>
      <c r="U21" s="28"/>
      <c r="V21" s="28"/>
      <c r="W21" s="28"/>
      <c r="X21" s="28"/>
      <c r="Y21" s="28"/>
      <c r="Z21" s="28"/>
      <c r="AA21" s="28"/>
      <c r="AB21" s="28"/>
      <c r="AC21" s="28"/>
      <c r="AD21" s="28"/>
      <c r="AE21" s="28"/>
      <c r="AF21" s="28"/>
      <c r="AG21" s="28"/>
    </row>
    <row r="22">
      <c r="A22" s="13" t="s">
        <v>105</v>
      </c>
      <c r="B22" s="55"/>
      <c r="C22" s="33"/>
      <c r="D22" s="34"/>
      <c r="E22" s="34"/>
      <c r="F22" s="34"/>
      <c r="G22" s="34"/>
      <c r="H22" s="32"/>
      <c r="I22" s="35">
        <f>SUM(I19:I21)</f>
        <v>31100</v>
      </c>
      <c r="J22" s="65">
        <v>27730.0</v>
      </c>
      <c r="K22" s="65"/>
      <c r="L22" s="37">
        <v>1.0</v>
      </c>
      <c r="M22" s="35">
        <f>18349+9381</f>
        <v>27730</v>
      </c>
      <c r="N22" s="35">
        <f t="shared" ref="N22:N25" si="8">J22-M22</f>
        <v>0</v>
      </c>
      <c r="O22" s="38"/>
      <c r="P22" s="55"/>
      <c r="Q22" s="83" t="s">
        <v>106</v>
      </c>
      <c r="R22" s="28"/>
      <c r="S22" s="28"/>
      <c r="T22" s="28"/>
      <c r="U22" s="28"/>
      <c r="V22" s="28"/>
      <c r="W22" s="28"/>
      <c r="X22" s="28"/>
      <c r="Y22" s="28"/>
      <c r="Z22" s="28"/>
      <c r="AA22" s="28"/>
      <c r="AB22" s="28"/>
      <c r="AC22" s="28"/>
      <c r="AD22" s="28"/>
      <c r="AE22" s="28"/>
      <c r="AF22" s="28"/>
      <c r="AG22" s="28"/>
    </row>
    <row r="23">
      <c r="A23" s="13" t="s">
        <v>107</v>
      </c>
      <c r="B23" s="68" t="s">
        <v>108</v>
      </c>
      <c r="C23" s="33"/>
      <c r="D23" s="34"/>
      <c r="E23" s="34"/>
      <c r="F23" s="34"/>
      <c r="G23" s="34"/>
      <c r="H23" s="32"/>
      <c r="I23" s="35">
        <v>13984.7</v>
      </c>
      <c r="J23" s="65">
        <v>16500.0</v>
      </c>
      <c r="K23" s="65" t="s">
        <v>109</v>
      </c>
      <c r="L23" s="37">
        <v>1.0</v>
      </c>
      <c r="M23" s="35">
        <f>7450+9050</f>
        <v>16500</v>
      </c>
      <c r="N23" s="35">
        <f t="shared" si="8"/>
        <v>0</v>
      </c>
      <c r="O23" s="38"/>
      <c r="P23" s="39" t="s">
        <v>110</v>
      </c>
      <c r="Q23" s="40" t="s">
        <v>111</v>
      </c>
      <c r="R23" s="28"/>
      <c r="S23" s="28"/>
      <c r="T23" s="28"/>
      <c r="U23" s="28"/>
      <c r="V23" s="28"/>
      <c r="W23" s="28"/>
      <c r="X23" s="28"/>
      <c r="Y23" s="28"/>
      <c r="Z23" s="28"/>
      <c r="AA23" s="28"/>
      <c r="AB23" s="28"/>
      <c r="AC23" s="28"/>
      <c r="AD23" s="28"/>
      <c r="AE23" s="28"/>
      <c r="AF23" s="28"/>
      <c r="AG23" s="28"/>
    </row>
    <row r="24">
      <c r="A24" s="13" t="s">
        <v>112</v>
      </c>
      <c r="B24" s="84" t="s">
        <v>113</v>
      </c>
      <c r="C24" s="33"/>
      <c r="D24" s="34"/>
      <c r="E24" s="34"/>
      <c r="F24" s="34"/>
      <c r="G24" s="34"/>
      <c r="H24" s="32"/>
      <c r="I24" s="35">
        <v>8759.0</v>
      </c>
      <c r="J24" s="65">
        <v>10336.0</v>
      </c>
      <c r="K24" s="65"/>
      <c r="L24" s="37">
        <v>1.0</v>
      </c>
      <c r="M24" s="35">
        <f t="shared" ref="M24:M25" si="9">J24*1</f>
        <v>10336</v>
      </c>
      <c r="N24" s="35">
        <f t="shared" si="8"/>
        <v>0</v>
      </c>
      <c r="O24" s="38"/>
      <c r="P24" s="39" t="s">
        <v>114</v>
      </c>
      <c r="Q24" s="40" t="s">
        <v>115</v>
      </c>
      <c r="R24" s="28"/>
      <c r="S24" s="28"/>
      <c r="T24" s="28"/>
      <c r="U24" s="28"/>
      <c r="V24" s="28"/>
      <c r="W24" s="28"/>
      <c r="X24" s="28"/>
      <c r="Y24" s="28"/>
      <c r="Z24" s="28"/>
      <c r="AA24" s="28"/>
      <c r="AB24" s="28"/>
      <c r="AC24" s="28"/>
      <c r="AD24" s="28"/>
      <c r="AE24" s="28"/>
      <c r="AF24" s="28"/>
      <c r="AG24" s="28"/>
    </row>
    <row r="25">
      <c r="A25" s="13" t="s">
        <v>116</v>
      </c>
      <c r="B25" s="68" t="s">
        <v>117</v>
      </c>
      <c r="C25" s="33"/>
      <c r="D25" s="34"/>
      <c r="E25" s="34"/>
      <c r="F25" s="34"/>
      <c r="G25" s="34"/>
      <c r="H25" s="32"/>
      <c r="I25" s="35">
        <v>26600.0</v>
      </c>
      <c r="J25" s="36">
        <f t="shared" ref="J25:J37" si="10">I25*1.18</f>
        <v>31388</v>
      </c>
      <c r="K25" s="85"/>
      <c r="L25" s="37">
        <v>1.0</v>
      </c>
      <c r="M25" s="35">
        <f t="shared" si="9"/>
        <v>31388</v>
      </c>
      <c r="N25" s="35">
        <f t="shared" si="8"/>
        <v>0</v>
      </c>
      <c r="O25" s="38"/>
      <c r="P25" s="39" t="s">
        <v>118</v>
      </c>
      <c r="Q25" s="83" t="s">
        <v>119</v>
      </c>
      <c r="R25" s="28"/>
      <c r="S25" s="28"/>
      <c r="T25" s="28"/>
      <c r="U25" s="28"/>
      <c r="V25" s="28"/>
      <c r="W25" s="28"/>
      <c r="X25" s="28"/>
      <c r="Y25" s="28"/>
      <c r="Z25" s="28"/>
      <c r="AA25" s="28"/>
      <c r="AB25" s="28"/>
      <c r="AC25" s="28"/>
      <c r="AD25" s="28"/>
      <c r="AE25" s="28"/>
      <c r="AF25" s="28"/>
      <c r="AG25" s="28"/>
    </row>
    <row r="26">
      <c r="A26" s="13" t="s">
        <v>120</v>
      </c>
      <c r="B26" s="68"/>
      <c r="C26" s="33"/>
      <c r="D26" s="34"/>
      <c r="E26" s="34"/>
      <c r="F26" s="34"/>
      <c r="G26" s="34"/>
      <c r="H26" s="32"/>
      <c r="I26" s="35">
        <v>1500.0</v>
      </c>
      <c r="J26" s="36">
        <f t="shared" si="10"/>
        <v>1770</v>
      </c>
      <c r="K26" s="85"/>
      <c r="L26" s="37">
        <v>1.0</v>
      </c>
      <c r="M26" s="35">
        <v>1770.0</v>
      </c>
      <c r="N26" s="35">
        <v>0.0</v>
      </c>
      <c r="O26" s="38"/>
      <c r="P26" s="39"/>
      <c r="Q26" s="40" t="s">
        <v>121</v>
      </c>
      <c r="R26" s="28"/>
      <c r="S26" s="28"/>
      <c r="T26" s="28"/>
      <c r="U26" s="28"/>
      <c r="V26" s="28"/>
      <c r="W26" s="28"/>
      <c r="X26" s="28"/>
      <c r="Y26" s="28"/>
      <c r="Z26" s="28"/>
      <c r="AA26" s="28"/>
      <c r="AB26" s="28"/>
      <c r="AC26" s="28"/>
      <c r="AD26" s="28"/>
      <c r="AE26" s="28"/>
      <c r="AF26" s="28"/>
      <c r="AG26" s="28"/>
    </row>
    <row r="27" ht="42.75" customHeight="1">
      <c r="A27" s="13" t="s">
        <v>122</v>
      </c>
      <c r="B27" s="14" t="s">
        <v>123</v>
      </c>
      <c r="C27" s="17"/>
      <c r="D27" s="18"/>
      <c r="E27" s="18"/>
      <c r="F27" s="18"/>
      <c r="G27" s="18"/>
      <c r="H27" s="16"/>
      <c r="I27" s="41">
        <v>17609.58</v>
      </c>
      <c r="J27" s="41">
        <f t="shared" si="10"/>
        <v>20779.3044</v>
      </c>
      <c r="K27" s="86"/>
      <c r="L27" s="87">
        <v>0.8662</v>
      </c>
      <c r="M27" s="35">
        <v>20779.0</v>
      </c>
      <c r="N27" s="35">
        <f>SUM(J27-M27)</f>
        <v>0.3044</v>
      </c>
      <c r="O27" s="75"/>
      <c r="P27" s="79"/>
      <c r="Q27" s="77" t="s">
        <v>124</v>
      </c>
      <c r="R27" s="28"/>
      <c r="S27" s="28"/>
      <c r="T27" s="28"/>
      <c r="U27" s="28"/>
      <c r="V27" s="28"/>
      <c r="W27" s="28"/>
      <c r="X27" s="28"/>
      <c r="Y27" s="28"/>
      <c r="Z27" s="28"/>
      <c r="AA27" s="28"/>
      <c r="AB27" s="28"/>
      <c r="AC27" s="28"/>
      <c r="AD27" s="28"/>
      <c r="AE27" s="28"/>
      <c r="AF27" s="28"/>
      <c r="AG27" s="28"/>
    </row>
    <row r="28">
      <c r="A28" s="13" t="s">
        <v>125</v>
      </c>
      <c r="B28" s="68" t="s">
        <v>126</v>
      </c>
      <c r="C28" s="33"/>
      <c r="D28" s="34"/>
      <c r="E28" s="34"/>
      <c r="F28" s="34"/>
      <c r="G28" s="34"/>
      <c r="H28" s="32"/>
      <c r="I28" s="35">
        <v>823.728814</v>
      </c>
      <c r="J28" s="36">
        <f t="shared" si="10"/>
        <v>972.0000005</v>
      </c>
      <c r="K28" s="85"/>
      <c r="L28" s="37">
        <v>1.0</v>
      </c>
      <c r="M28" s="35">
        <v>973.0</v>
      </c>
      <c r="N28" s="35">
        <v>0.0</v>
      </c>
      <c r="O28" s="38"/>
      <c r="P28" s="39"/>
      <c r="Q28" s="88" t="s">
        <v>127</v>
      </c>
      <c r="R28" s="28"/>
      <c r="S28" s="28"/>
      <c r="T28" s="28"/>
      <c r="U28" s="28"/>
      <c r="V28" s="28"/>
      <c r="W28" s="28"/>
      <c r="X28" s="28"/>
      <c r="Y28" s="28"/>
      <c r="Z28" s="28"/>
      <c r="AA28" s="28"/>
      <c r="AB28" s="28"/>
      <c r="AC28" s="28"/>
      <c r="AD28" s="28"/>
      <c r="AE28" s="28"/>
      <c r="AF28" s="28"/>
      <c r="AG28" s="28"/>
    </row>
    <row r="29">
      <c r="A29" s="89" t="s">
        <v>128</v>
      </c>
      <c r="B29" s="90" t="s">
        <v>129</v>
      </c>
      <c r="C29" s="91"/>
      <c r="D29" s="92"/>
      <c r="E29" s="92"/>
      <c r="F29" s="92"/>
      <c r="G29" s="93"/>
      <c r="H29" s="93"/>
      <c r="I29" s="94">
        <v>11237.3</v>
      </c>
      <c r="J29" s="36">
        <f t="shared" si="10"/>
        <v>13260.014</v>
      </c>
      <c r="K29" s="95"/>
      <c r="L29" s="37">
        <v>1.0</v>
      </c>
      <c r="M29" s="35">
        <v>13260.0</v>
      </c>
      <c r="N29" s="35">
        <f t="shared" ref="N29:N39" si="11">J29-M29</f>
        <v>0.014</v>
      </c>
      <c r="O29" s="38"/>
      <c r="P29" s="59"/>
      <c r="Q29" s="88" t="s">
        <v>130</v>
      </c>
      <c r="R29" s="28"/>
      <c r="S29" s="28"/>
      <c r="T29" s="28"/>
      <c r="U29" s="28"/>
      <c r="V29" s="28"/>
      <c r="W29" s="28"/>
      <c r="X29" s="28"/>
      <c r="Y29" s="28"/>
      <c r="Z29" s="28"/>
      <c r="AA29" s="28"/>
      <c r="AB29" s="28"/>
      <c r="AC29" s="28"/>
      <c r="AD29" s="28"/>
      <c r="AE29" s="28"/>
      <c r="AF29" s="28"/>
      <c r="AG29" s="28"/>
    </row>
    <row r="30">
      <c r="A30" s="96" t="s">
        <v>131</v>
      </c>
      <c r="B30" s="97" t="s">
        <v>132</v>
      </c>
      <c r="C30" s="91"/>
      <c r="D30" s="92"/>
      <c r="E30" s="92"/>
      <c r="F30" s="92"/>
      <c r="G30" s="93"/>
      <c r="H30" s="93"/>
      <c r="I30" s="94">
        <v>1844.92</v>
      </c>
      <c r="J30" s="36">
        <f t="shared" si="10"/>
        <v>2177.0056</v>
      </c>
      <c r="K30" s="95"/>
      <c r="L30" s="37">
        <v>1.0</v>
      </c>
      <c r="M30" s="35">
        <v>2177.0</v>
      </c>
      <c r="N30" s="35">
        <f t="shared" si="11"/>
        <v>0.0056</v>
      </c>
      <c r="O30" s="38"/>
      <c r="P30" s="98"/>
      <c r="Q30" s="88" t="s">
        <v>133</v>
      </c>
      <c r="R30" s="28"/>
      <c r="S30" s="28"/>
      <c r="T30" s="28"/>
      <c r="U30" s="28"/>
      <c r="V30" s="28"/>
      <c r="W30" s="28"/>
      <c r="X30" s="28"/>
      <c r="Y30" s="28"/>
      <c r="Z30" s="28"/>
      <c r="AA30" s="28"/>
      <c r="AB30" s="28"/>
      <c r="AC30" s="28"/>
      <c r="AD30" s="28"/>
      <c r="AE30" s="28"/>
      <c r="AF30" s="28"/>
      <c r="AG30" s="28"/>
    </row>
    <row r="31">
      <c r="A31" s="99" t="s">
        <v>134</v>
      </c>
      <c r="B31" s="100"/>
      <c r="C31" s="91"/>
      <c r="D31" s="92"/>
      <c r="E31" s="92"/>
      <c r="F31" s="92"/>
      <c r="G31" s="93"/>
      <c r="H31" s="93"/>
      <c r="I31" s="94">
        <v>7200.0</v>
      </c>
      <c r="J31" s="36">
        <f t="shared" si="10"/>
        <v>8496</v>
      </c>
      <c r="K31" s="95"/>
      <c r="L31" s="37">
        <v>1.0</v>
      </c>
      <c r="M31" s="35">
        <v>8496.0</v>
      </c>
      <c r="N31" s="35">
        <f t="shared" si="11"/>
        <v>0</v>
      </c>
      <c r="O31" s="38"/>
      <c r="P31" s="52"/>
      <c r="Q31" s="88" t="s">
        <v>135</v>
      </c>
      <c r="R31" s="28"/>
      <c r="S31" s="28"/>
      <c r="T31" s="28"/>
      <c r="U31" s="28"/>
      <c r="V31" s="28"/>
      <c r="W31" s="28"/>
      <c r="X31" s="28"/>
      <c r="Y31" s="28"/>
      <c r="Z31" s="28"/>
      <c r="AA31" s="28"/>
      <c r="AB31" s="28"/>
      <c r="AC31" s="28"/>
      <c r="AD31" s="28"/>
      <c r="AE31" s="28"/>
      <c r="AF31" s="28"/>
      <c r="AG31" s="28"/>
    </row>
    <row r="32">
      <c r="A32" s="99" t="s">
        <v>136</v>
      </c>
      <c r="B32" s="101"/>
      <c r="C32" s="102"/>
      <c r="D32" s="103"/>
      <c r="E32" s="103"/>
      <c r="F32" s="103"/>
      <c r="G32" s="104"/>
      <c r="H32" s="104"/>
      <c r="I32" s="105"/>
      <c r="J32" s="20">
        <f t="shared" si="10"/>
        <v>0</v>
      </c>
      <c r="K32" s="106"/>
      <c r="L32" s="41"/>
      <c r="M32" s="41"/>
      <c r="N32" s="41">
        <f t="shared" si="11"/>
        <v>0</v>
      </c>
      <c r="O32" s="62"/>
      <c r="P32" s="44"/>
      <c r="Q32" s="62"/>
      <c r="R32" s="28"/>
      <c r="S32" s="28"/>
      <c r="T32" s="28"/>
      <c r="U32" s="28"/>
      <c r="V32" s="28"/>
      <c r="W32" s="28"/>
      <c r="X32" s="28"/>
      <c r="Y32" s="28"/>
      <c r="Z32" s="28"/>
      <c r="AA32" s="28"/>
      <c r="AB32" s="28"/>
      <c r="AC32" s="28"/>
      <c r="AD32" s="28"/>
      <c r="AE32" s="28"/>
      <c r="AF32" s="28"/>
      <c r="AG32" s="28"/>
    </row>
    <row r="33">
      <c r="A33" s="99" t="s">
        <v>137</v>
      </c>
      <c r="B33" s="101"/>
      <c r="C33" s="102"/>
      <c r="D33" s="103"/>
      <c r="E33" s="103"/>
      <c r="F33" s="103"/>
      <c r="G33" s="104"/>
      <c r="H33" s="104"/>
      <c r="I33" s="105"/>
      <c r="J33" s="20">
        <f t="shared" si="10"/>
        <v>0</v>
      </c>
      <c r="K33" s="106"/>
      <c r="L33" s="107"/>
      <c r="M33" s="107"/>
      <c r="N33" s="41">
        <f t="shared" si="11"/>
        <v>0</v>
      </c>
      <c r="O33" s="62"/>
      <c r="P33" s="63"/>
      <c r="Q33" s="62"/>
      <c r="R33" s="28"/>
      <c r="S33" s="28"/>
      <c r="T33" s="28"/>
      <c r="U33" s="28"/>
      <c r="V33" s="28"/>
      <c r="W33" s="28"/>
      <c r="X33" s="28"/>
      <c r="Y33" s="28"/>
      <c r="Z33" s="28"/>
      <c r="AA33" s="28"/>
      <c r="AB33" s="28"/>
      <c r="AC33" s="28"/>
      <c r="AD33" s="28"/>
      <c r="AE33" s="28"/>
      <c r="AF33" s="28"/>
      <c r="AG33" s="28"/>
    </row>
    <row r="34">
      <c r="A34" s="89" t="s">
        <v>138</v>
      </c>
      <c r="B34" s="97" t="s">
        <v>139</v>
      </c>
      <c r="C34" s="91"/>
      <c r="D34" s="92"/>
      <c r="E34" s="92"/>
      <c r="F34" s="92"/>
      <c r="G34" s="93"/>
      <c r="H34" s="93"/>
      <c r="I34" s="94">
        <v>779.66</v>
      </c>
      <c r="J34" s="94">
        <f t="shared" si="10"/>
        <v>919.9988</v>
      </c>
      <c r="K34" s="95"/>
      <c r="L34" s="37">
        <v>1.0</v>
      </c>
      <c r="M34" s="35">
        <v>920.0</v>
      </c>
      <c r="N34" s="35">
        <f t="shared" si="11"/>
        <v>-0.0012</v>
      </c>
      <c r="O34" s="38"/>
      <c r="P34" s="52"/>
      <c r="Q34" s="88" t="s">
        <v>140</v>
      </c>
      <c r="R34" s="28"/>
      <c r="S34" s="28"/>
      <c r="T34" s="28"/>
      <c r="U34" s="28"/>
      <c r="V34" s="28"/>
      <c r="W34" s="28"/>
      <c r="X34" s="28"/>
      <c r="Y34" s="28"/>
      <c r="Z34" s="28"/>
      <c r="AA34" s="28"/>
      <c r="AB34" s="28"/>
      <c r="AC34" s="28"/>
      <c r="AD34" s="28"/>
      <c r="AE34" s="28"/>
      <c r="AF34" s="28"/>
      <c r="AG34" s="28"/>
    </row>
    <row r="35">
      <c r="A35" s="99" t="s">
        <v>141</v>
      </c>
      <c r="B35" s="101"/>
      <c r="C35" s="102"/>
      <c r="D35" s="103"/>
      <c r="E35" s="103"/>
      <c r="F35" s="103"/>
      <c r="G35" s="104"/>
      <c r="H35" s="104"/>
      <c r="I35" s="105"/>
      <c r="J35" s="20">
        <f t="shared" si="10"/>
        <v>0</v>
      </c>
      <c r="K35" s="106"/>
      <c r="L35" s="107"/>
      <c r="M35" s="107"/>
      <c r="N35" s="41">
        <f t="shared" si="11"/>
        <v>0</v>
      </c>
      <c r="O35" s="62"/>
      <c r="P35" s="44"/>
      <c r="Q35" s="62"/>
      <c r="R35" s="28"/>
      <c r="S35" s="28"/>
      <c r="T35" s="28"/>
      <c r="U35" s="28"/>
      <c r="V35" s="28"/>
      <c r="W35" s="28"/>
      <c r="X35" s="28"/>
      <c r="Y35" s="28"/>
      <c r="Z35" s="28"/>
      <c r="AA35" s="28"/>
      <c r="AB35" s="28"/>
      <c r="AC35" s="28"/>
      <c r="AD35" s="28"/>
      <c r="AE35" s="28"/>
      <c r="AF35" s="28"/>
      <c r="AG35" s="28"/>
    </row>
    <row r="36">
      <c r="A36" s="99" t="s">
        <v>142</v>
      </c>
      <c r="B36" s="97" t="s">
        <v>143</v>
      </c>
      <c r="C36" s="91"/>
      <c r="D36" s="92"/>
      <c r="E36" s="92"/>
      <c r="F36" s="92"/>
      <c r="G36" s="93"/>
      <c r="H36" s="93"/>
      <c r="I36" s="94">
        <v>931.36</v>
      </c>
      <c r="J36" s="36">
        <f t="shared" si="10"/>
        <v>1099.0048</v>
      </c>
      <c r="K36" s="95"/>
      <c r="L36" s="108"/>
      <c r="M36" s="35">
        <v>1099.0</v>
      </c>
      <c r="N36" s="35">
        <f t="shared" si="11"/>
        <v>0.0048</v>
      </c>
      <c r="O36" s="38"/>
      <c r="P36" s="52"/>
      <c r="Q36" s="109" t="s">
        <v>144</v>
      </c>
      <c r="R36" s="28"/>
      <c r="S36" s="28"/>
      <c r="T36" s="28"/>
      <c r="U36" s="28"/>
      <c r="V36" s="28"/>
      <c r="W36" s="28"/>
      <c r="X36" s="28"/>
      <c r="Y36" s="28"/>
      <c r="Z36" s="28"/>
      <c r="AA36" s="28"/>
      <c r="AB36" s="28"/>
      <c r="AC36" s="28"/>
      <c r="AD36" s="28"/>
      <c r="AE36" s="28"/>
      <c r="AF36" s="28"/>
      <c r="AG36" s="28"/>
    </row>
    <row r="37">
      <c r="A37" s="99" t="s">
        <v>145</v>
      </c>
      <c r="B37" s="110"/>
      <c r="C37" s="17"/>
      <c r="D37" s="18"/>
      <c r="E37" s="18"/>
      <c r="F37" s="18"/>
      <c r="G37" s="18"/>
      <c r="H37" s="16"/>
      <c r="I37" s="111"/>
      <c r="J37" s="20">
        <f t="shared" si="10"/>
        <v>0</v>
      </c>
      <c r="K37" s="21" t="s">
        <v>146</v>
      </c>
      <c r="L37" s="41"/>
      <c r="M37" s="41"/>
      <c r="N37" s="41">
        <f t="shared" si="11"/>
        <v>0</v>
      </c>
      <c r="O37" s="25"/>
      <c r="P37" s="44"/>
      <c r="Q37" s="62"/>
      <c r="R37" s="28"/>
      <c r="S37" s="28"/>
      <c r="T37" s="28"/>
      <c r="U37" s="28"/>
      <c r="V37" s="28"/>
      <c r="W37" s="28"/>
      <c r="X37" s="28"/>
      <c r="Y37" s="28"/>
      <c r="Z37" s="28"/>
      <c r="AA37" s="28"/>
      <c r="AB37" s="28"/>
      <c r="AC37" s="28"/>
      <c r="AD37" s="28"/>
      <c r="AE37" s="28"/>
      <c r="AF37" s="28"/>
      <c r="AG37" s="28"/>
    </row>
    <row r="38" ht="25.5" customHeight="1">
      <c r="A38" s="89" t="s">
        <v>147</v>
      </c>
      <c r="B38" s="112"/>
      <c r="C38" s="113"/>
      <c r="D38" s="62"/>
      <c r="E38" s="62"/>
      <c r="F38" s="62"/>
      <c r="G38" s="44"/>
      <c r="H38" s="44"/>
      <c r="I38" s="114">
        <v>3500.0</v>
      </c>
      <c r="J38" s="20">
        <f t="shared" ref="J38:J39" si="12">SUM(I38*1.18)</f>
        <v>4130</v>
      </c>
      <c r="K38" s="115"/>
      <c r="L38" s="116"/>
      <c r="M38" s="116"/>
      <c r="N38" s="24">
        <f t="shared" si="11"/>
        <v>4130</v>
      </c>
      <c r="O38" s="62"/>
      <c r="P38" s="63"/>
      <c r="Q38" s="62"/>
      <c r="R38" s="28"/>
      <c r="S38" s="28"/>
      <c r="T38" s="28"/>
      <c r="U38" s="28"/>
      <c r="V38" s="28"/>
      <c r="W38" s="28"/>
      <c r="X38" s="28"/>
      <c r="Y38" s="28"/>
      <c r="Z38" s="28"/>
      <c r="AA38" s="28"/>
      <c r="AB38" s="28"/>
      <c r="AC38" s="28"/>
      <c r="AD38" s="28"/>
      <c r="AE38" s="28"/>
      <c r="AF38" s="28"/>
      <c r="AG38" s="28"/>
    </row>
    <row r="39" ht="25.5" customHeight="1">
      <c r="A39" s="89" t="s">
        <v>148</v>
      </c>
      <c r="B39" s="117"/>
      <c r="C39" s="118"/>
      <c r="D39" s="38"/>
      <c r="E39" s="38"/>
      <c r="F39" s="38"/>
      <c r="G39" s="59"/>
      <c r="H39" s="59"/>
      <c r="I39" s="119">
        <v>2500.0</v>
      </c>
      <c r="J39" s="36">
        <f t="shared" si="12"/>
        <v>2950</v>
      </c>
      <c r="K39" s="120"/>
      <c r="L39" s="37">
        <v>1.0</v>
      </c>
      <c r="M39" s="35">
        <v>2950.0</v>
      </c>
      <c r="N39" s="35">
        <f t="shared" si="11"/>
        <v>0</v>
      </c>
      <c r="O39" s="121"/>
      <c r="P39" s="52"/>
      <c r="Q39" s="109" t="s">
        <v>149</v>
      </c>
      <c r="R39" s="28"/>
      <c r="S39" s="28"/>
      <c r="T39" s="28"/>
      <c r="U39" s="28"/>
      <c r="V39" s="28"/>
      <c r="W39" s="28"/>
      <c r="X39" s="28"/>
      <c r="Y39" s="28"/>
      <c r="Z39" s="28"/>
      <c r="AA39" s="28"/>
      <c r="AB39" s="28"/>
      <c r="AC39" s="28"/>
      <c r="AD39" s="28"/>
      <c r="AE39" s="28"/>
      <c r="AF39" s="28"/>
      <c r="AG39" s="28"/>
    </row>
    <row r="40">
      <c r="A40" s="122" t="s">
        <v>150</v>
      </c>
      <c r="B40" s="123"/>
      <c r="C40" s="124"/>
      <c r="D40" s="123"/>
      <c r="E40" s="123"/>
      <c r="F40" s="123"/>
      <c r="G40" s="125"/>
      <c r="H40" s="125"/>
      <c r="I40" s="126">
        <f>SUM(I3:I39)</f>
        <v>1459327.151</v>
      </c>
      <c r="J40" s="127">
        <f>SUM(J1:J39)</f>
        <v>1811363.47</v>
      </c>
      <c r="K40" s="127"/>
      <c r="L40" s="128"/>
      <c r="M40" s="129">
        <f>SUM(M3:M39)</f>
        <v>1518827.727</v>
      </c>
      <c r="N40" s="129">
        <f>SUM(N3:N38)</f>
        <v>127936.5937</v>
      </c>
      <c r="O40" s="130"/>
      <c r="P40" s="131"/>
      <c r="Q40" s="123"/>
      <c r="R40" s="123"/>
      <c r="S40" s="123"/>
      <c r="T40" s="123"/>
      <c r="U40" s="123"/>
      <c r="V40" s="123"/>
      <c r="W40" s="123"/>
      <c r="X40" s="123"/>
      <c r="Y40" s="123"/>
      <c r="Z40" s="123"/>
      <c r="AA40" s="123"/>
      <c r="AB40" s="123"/>
      <c r="AC40" s="123"/>
      <c r="AD40" s="123"/>
      <c r="AE40" s="123"/>
      <c r="AF40" s="123"/>
      <c r="AG40" s="123"/>
    </row>
    <row r="41">
      <c r="A41" s="28"/>
      <c r="B41" s="28"/>
      <c r="C41" s="132"/>
      <c r="D41" s="28"/>
      <c r="E41" s="28"/>
      <c r="F41" s="28"/>
      <c r="G41" s="133"/>
      <c r="H41" s="133"/>
      <c r="I41" s="134"/>
      <c r="J41" s="135"/>
      <c r="K41" s="135"/>
      <c r="L41" s="136"/>
      <c r="M41" s="136"/>
      <c r="N41" s="136"/>
      <c r="O41" s="121"/>
      <c r="P41" s="133"/>
      <c r="Q41" s="28"/>
      <c r="R41" s="28"/>
      <c r="S41" s="28"/>
      <c r="T41" s="28"/>
      <c r="U41" s="28"/>
      <c r="V41" s="28"/>
      <c r="W41" s="28"/>
      <c r="X41" s="28"/>
      <c r="Y41" s="28"/>
      <c r="Z41" s="28"/>
      <c r="AA41" s="28"/>
      <c r="AB41" s="28"/>
      <c r="AC41" s="28"/>
      <c r="AD41" s="28"/>
      <c r="AE41" s="28"/>
      <c r="AF41" s="28"/>
      <c r="AG41" s="28"/>
    </row>
    <row r="42">
      <c r="A42" s="66"/>
      <c r="B42" s="66"/>
      <c r="C42" s="132"/>
      <c r="D42" s="29"/>
      <c r="E42" s="29"/>
      <c r="F42" s="29"/>
      <c r="G42" s="26"/>
      <c r="H42" s="137"/>
      <c r="I42" s="138"/>
      <c r="J42" s="139"/>
      <c r="K42" s="139"/>
      <c r="L42" s="136"/>
      <c r="M42" s="136"/>
      <c r="N42" s="136"/>
      <c r="O42" s="121"/>
      <c r="P42" s="140"/>
      <c r="Q42" s="28"/>
      <c r="R42" s="28"/>
      <c r="S42" s="28"/>
      <c r="T42" s="28"/>
      <c r="U42" s="28"/>
      <c r="V42" s="28"/>
      <c r="W42" s="28"/>
      <c r="X42" s="28"/>
      <c r="Y42" s="28"/>
      <c r="Z42" s="28"/>
      <c r="AA42" s="28"/>
      <c r="AB42" s="28"/>
      <c r="AC42" s="28"/>
      <c r="AD42" s="28"/>
      <c r="AE42" s="28"/>
      <c r="AF42" s="28"/>
      <c r="AG42" s="28"/>
    </row>
    <row r="43">
      <c r="A43" s="29"/>
      <c r="B43" s="29"/>
      <c r="C43" s="132"/>
      <c r="D43" s="66"/>
      <c r="E43" s="66"/>
      <c r="F43" s="66"/>
      <c r="G43" s="140"/>
      <c r="H43" s="137"/>
      <c r="I43" s="141"/>
      <c r="J43" s="142"/>
      <c r="K43" s="142"/>
      <c r="L43" s="136"/>
      <c r="M43" s="136"/>
      <c r="N43" s="136"/>
      <c r="O43" s="121"/>
      <c r="P43" s="133"/>
      <c r="Q43" s="28"/>
      <c r="R43" s="28"/>
      <c r="S43" s="28"/>
      <c r="T43" s="28"/>
      <c r="U43" s="28"/>
      <c r="V43" s="28"/>
      <c r="W43" s="28"/>
      <c r="X43" s="28"/>
      <c r="Y43" s="28"/>
      <c r="Z43" s="28"/>
      <c r="AA43" s="28"/>
      <c r="AB43" s="28"/>
      <c r="AC43" s="28"/>
      <c r="AD43" s="28"/>
      <c r="AE43" s="28"/>
      <c r="AF43" s="28"/>
      <c r="AG43" s="28"/>
    </row>
    <row r="44">
      <c r="A44" s="29"/>
      <c r="B44" s="29"/>
      <c r="C44" s="143"/>
      <c r="D44" s="66"/>
      <c r="E44" s="66"/>
      <c r="F44" s="66"/>
      <c r="G44" s="140"/>
      <c r="H44" s="137"/>
      <c r="I44" s="141"/>
      <c r="J44" s="142"/>
      <c r="K44" s="142"/>
      <c r="L44" s="136"/>
      <c r="M44" s="136"/>
      <c r="N44" s="136"/>
      <c r="O44" s="121"/>
      <c r="P44" s="140"/>
      <c r="Q44" s="28"/>
      <c r="R44" s="28"/>
      <c r="S44" s="28"/>
      <c r="T44" s="28"/>
      <c r="U44" s="28"/>
      <c r="V44" s="28"/>
      <c r="W44" s="28"/>
      <c r="X44" s="28"/>
      <c r="Y44" s="28"/>
      <c r="Z44" s="28"/>
      <c r="AA44" s="28"/>
      <c r="AB44" s="28"/>
      <c r="AC44" s="28"/>
      <c r="AD44" s="28"/>
      <c r="AE44" s="28"/>
      <c r="AF44" s="28"/>
      <c r="AG44" s="28"/>
    </row>
    <row r="45">
      <c r="A45" s="29"/>
      <c r="B45" s="29"/>
      <c r="C45" s="143"/>
      <c r="D45" s="66"/>
      <c r="E45" s="66"/>
      <c r="F45" s="66"/>
      <c r="G45" s="140"/>
      <c r="H45" s="137"/>
      <c r="I45" s="141"/>
      <c r="J45" s="142"/>
      <c r="K45" s="142"/>
      <c r="L45" s="136"/>
      <c r="M45" s="136"/>
      <c r="N45" s="136"/>
      <c r="O45" s="121"/>
      <c r="P45" s="133"/>
      <c r="Q45" s="28"/>
      <c r="R45" s="28"/>
      <c r="S45" s="28"/>
      <c r="T45" s="28"/>
      <c r="U45" s="28"/>
      <c r="V45" s="28"/>
      <c r="W45" s="28"/>
      <c r="X45" s="28"/>
      <c r="Y45" s="28"/>
      <c r="Z45" s="28"/>
      <c r="AA45" s="28"/>
      <c r="AB45" s="28"/>
      <c r="AC45" s="28"/>
      <c r="AD45" s="28"/>
      <c r="AE45" s="28"/>
      <c r="AF45" s="28"/>
      <c r="AG45" s="28"/>
    </row>
    <row r="46">
      <c r="A46" s="66"/>
      <c r="B46" s="66"/>
      <c r="C46" s="143"/>
      <c r="D46" s="66"/>
      <c r="E46" s="66"/>
      <c r="F46" s="66"/>
      <c r="G46" s="140"/>
      <c r="H46" s="137"/>
      <c r="I46" s="134"/>
      <c r="J46" s="135"/>
      <c r="K46" s="135"/>
      <c r="L46" s="136"/>
      <c r="M46" s="136"/>
      <c r="N46" s="136"/>
      <c r="O46" s="121"/>
      <c r="P46" s="140"/>
      <c r="Q46" s="28"/>
      <c r="R46" s="28"/>
      <c r="S46" s="28"/>
      <c r="T46" s="28"/>
      <c r="U46" s="28"/>
      <c r="V46" s="28"/>
      <c r="W46" s="28"/>
      <c r="X46" s="28"/>
      <c r="Y46" s="28"/>
      <c r="Z46" s="28"/>
      <c r="AA46" s="28"/>
      <c r="AB46" s="28"/>
      <c r="AC46" s="28"/>
      <c r="AD46" s="28"/>
      <c r="AE46" s="28"/>
      <c r="AF46" s="28"/>
      <c r="AG46" s="28"/>
    </row>
    <row r="47">
      <c r="A47" s="29"/>
      <c r="B47" s="29"/>
      <c r="C47" s="132"/>
      <c r="D47" s="29"/>
      <c r="E47" s="29"/>
      <c r="F47" s="29"/>
      <c r="G47" s="26"/>
      <c r="H47" s="137"/>
      <c r="I47" s="134"/>
      <c r="J47" s="135"/>
      <c r="K47" s="135"/>
      <c r="L47" s="136"/>
      <c r="M47" s="136"/>
      <c r="N47" s="136"/>
      <c r="O47" s="121"/>
      <c r="P47" s="133"/>
      <c r="Q47" s="28"/>
      <c r="R47" s="28"/>
      <c r="S47" s="28"/>
      <c r="T47" s="28"/>
      <c r="U47" s="28"/>
      <c r="V47" s="28"/>
      <c r="W47" s="28"/>
      <c r="X47" s="28"/>
      <c r="Y47" s="28"/>
      <c r="Z47" s="28"/>
      <c r="AA47" s="28"/>
      <c r="AB47" s="28"/>
      <c r="AC47" s="28"/>
      <c r="AD47" s="28"/>
      <c r="AE47" s="28"/>
      <c r="AF47" s="28"/>
      <c r="AG47" s="28"/>
    </row>
    <row r="48">
      <c r="A48" s="28"/>
      <c r="B48" s="28"/>
      <c r="C48" s="132"/>
      <c r="D48" s="28"/>
      <c r="E48" s="28"/>
      <c r="F48" s="28"/>
      <c r="G48" s="133"/>
      <c r="H48" s="144"/>
      <c r="I48" s="134"/>
      <c r="J48" s="135"/>
      <c r="K48" s="135"/>
      <c r="L48" s="136"/>
      <c r="M48" s="136"/>
      <c r="N48" s="136"/>
      <c r="O48" s="121"/>
      <c r="P48" s="140"/>
      <c r="Q48" s="28"/>
      <c r="R48" s="28"/>
      <c r="S48" s="28"/>
      <c r="T48" s="28"/>
      <c r="U48" s="28"/>
      <c r="V48" s="28"/>
      <c r="W48" s="28"/>
      <c r="X48" s="28"/>
      <c r="Y48" s="28"/>
      <c r="Z48" s="28"/>
      <c r="AA48" s="28"/>
      <c r="AB48" s="28"/>
      <c r="AC48" s="28"/>
      <c r="AD48" s="28"/>
      <c r="AE48" s="28"/>
      <c r="AF48" s="28"/>
      <c r="AG48" s="28"/>
    </row>
    <row r="49">
      <c r="A49" s="28"/>
      <c r="B49" s="28"/>
      <c r="C49" s="132"/>
      <c r="D49" s="28"/>
      <c r="E49" s="28"/>
      <c r="F49" s="28"/>
      <c r="G49" s="133"/>
      <c r="H49" s="144"/>
      <c r="I49" s="134"/>
      <c r="J49" s="135"/>
      <c r="K49" s="135"/>
      <c r="L49" s="136"/>
      <c r="M49" s="136"/>
      <c r="N49" s="136"/>
      <c r="O49" s="121"/>
      <c r="P49" s="133"/>
      <c r="Q49" s="28"/>
      <c r="R49" s="28"/>
      <c r="S49" s="28"/>
      <c r="T49" s="28"/>
      <c r="U49" s="28"/>
      <c r="V49" s="28"/>
      <c r="W49" s="28"/>
      <c r="X49" s="28"/>
      <c r="Y49" s="28"/>
      <c r="Z49" s="28"/>
      <c r="AA49" s="28"/>
      <c r="AB49" s="28"/>
      <c r="AC49" s="28"/>
      <c r="AD49" s="28"/>
      <c r="AE49" s="28"/>
      <c r="AF49" s="28"/>
      <c r="AG49" s="28"/>
    </row>
    <row r="50">
      <c r="A50" s="28"/>
      <c r="B50" s="28"/>
      <c r="C50" s="132"/>
      <c r="D50" s="28"/>
      <c r="E50" s="28"/>
      <c r="F50" s="28"/>
      <c r="G50" s="133"/>
      <c r="H50" s="144"/>
      <c r="I50" s="145"/>
      <c r="J50" s="146"/>
      <c r="K50" s="146"/>
      <c r="L50" s="136"/>
      <c r="M50" s="136"/>
      <c r="N50" s="136"/>
      <c r="O50" s="121"/>
      <c r="P50" s="140"/>
      <c r="Q50" s="28"/>
      <c r="R50" s="28"/>
      <c r="S50" s="28"/>
      <c r="T50" s="28"/>
      <c r="U50" s="28"/>
      <c r="V50" s="28"/>
      <c r="W50" s="28"/>
      <c r="X50" s="28"/>
      <c r="Y50" s="28"/>
      <c r="Z50" s="28"/>
      <c r="AA50" s="28"/>
      <c r="AB50" s="28"/>
      <c r="AC50" s="28"/>
      <c r="AD50" s="28"/>
      <c r="AE50" s="28"/>
      <c r="AF50" s="28"/>
      <c r="AG50" s="28"/>
    </row>
    <row r="51">
      <c r="A51" s="28"/>
      <c r="B51" s="28"/>
      <c r="C51" s="132"/>
      <c r="D51" s="28"/>
      <c r="E51" s="28"/>
      <c r="F51" s="28"/>
      <c r="G51" s="133"/>
      <c r="H51" s="147"/>
      <c r="I51" s="145"/>
      <c r="J51" s="146"/>
      <c r="K51" s="146"/>
      <c r="L51" s="136"/>
      <c r="M51" s="136"/>
      <c r="N51" s="136"/>
      <c r="O51" s="121"/>
      <c r="P51" s="133"/>
      <c r="Q51" s="28"/>
      <c r="R51" s="28"/>
      <c r="S51" s="28"/>
      <c r="T51" s="28"/>
      <c r="U51" s="28"/>
      <c r="V51" s="28"/>
      <c r="W51" s="28"/>
      <c r="X51" s="28"/>
      <c r="Y51" s="28"/>
      <c r="Z51" s="28"/>
      <c r="AA51" s="28"/>
      <c r="AB51" s="28"/>
      <c r="AC51" s="28"/>
      <c r="AD51" s="28"/>
      <c r="AE51" s="28"/>
      <c r="AF51" s="28"/>
      <c r="AG51" s="28"/>
    </row>
    <row r="52">
      <c r="A52" s="28"/>
      <c r="B52" s="28"/>
      <c r="C52" s="132"/>
      <c r="D52" s="28"/>
      <c r="E52" s="28"/>
      <c r="F52" s="28"/>
      <c r="G52" s="133"/>
      <c r="H52" s="144"/>
      <c r="I52" s="145"/>
      <c r="J52" s="146"/>
      <c r="K52" s="146"/>
      <c r="L52" s="136"/>
      <c r="M52" s="136"/>
      <c r="N52" s="136"/>
      <c r="O52" s="121"/>
      <c r="P52" s="140"/>
      <c r="Q52" s="28"/>
      <c r="R52" s="28"/>
      <c r="S52" s="28"/>
      <c r="T52" s="28"/>
      <c r="U52" s="28"/>
      <c r="V52" s="28"/>
      <c r="W52" s="28"/>
      <c r="X52" s="28"/>
      <c r="Y52" s="28"/>
      <c r="Z52" s="28"/>
      <c r="AA52" s="28"/>
      <c r="AB52" s="28"/>
      <c r="AC52" s="28"/>
      <c r="AD52" s="28"/>
      <c r="AE52" s="28"/>
      <c r="AF52" s="28"/>
      <c r="AG52" s="28"/>
    </row>
    <row r="53">
      <c r="A53" s="28"/>
      <c r="B53" s="28"/>
      <c r="C53" s="132"/>
      <c r="D53" s="28"/>
      <c r="E53" s="28"/>
      <c r="F53" s="28"/>
      <c r="G53" s="133"/>
      <c r="H53" s="148"/>
      <c r="I53" s="145"/>
      <c r="J53" s="146"/>
      <c r="K53" s="146"/>
      <c r="L53" s="136"/>
      <c r="M53" s="136"/>
      <c r="N53" s="136"/>
      <c r="O53" s="121"/>
      <c r="P53" s="133"/>
      <c r="Q53" s="28"/>
      <c r="R53" s="28"/>
      <c r="S53" s="28"/>
      <c r="T53" s="28"/>
      <c r="U53" s="28"/>
      <c r="V53" s="28"/>
      <c r="W53" s="28"/>
      <c r="X53" s="28"/>
      <c r="Y53" s="28"/>
      <c r="Z53" s="28"/>
      <c r="AA53" s="28"/>
      <c r="AB53" s="28"/>
      <c r="AC53" s="28"/>
      <c r="AD53" s="28"/>
      <c r="AE53" s="28"/>
      <c r="AF53" s="28"/>
      <c r="AG53" s="28"/>
    </row>
    <row r="54">
      <c r="A54" s="28"/>
      <c r="B54" s="28"/>
      <c r="C54" s="132"/>
      <c r="D54" s="28"/>
      <c r="E54" s="28"/>
      <c r="F54" s="28"/>
      <c r="G54" s="133"/>
      <c r="H54" s="133"/>
      <c r="I54" s="134"/>
      <c r="J54" s="135"/>
      <c r="K54" s="135"/>
      <c r="L54" s="136"/>
      <c r="M54" s="136"/>
      <c r="N54" s="136"/>
      <c r="O54" s="121"/>
      <c r="P54" s="140"/>
      <c r="Q54" s="28"/>
      <c r="R54" s="28"/>
      <c r="S54" s="28"/>
      <c r="T54" s="28"/>
      <c r="U54" s="28"/>
      <c r="V54" s="28"/>
      <c r="W54" s="28"/>
      <c r="X54" s="28"/>
      <c r="Y54" s="28"/>
      <c r="Z54" s="28"/>
      <c r="AA54" s="28"/>
      <c r="AB54" s="28"/>
      <c r="AC54" s="28"/>
      <c r="AD54" s="28"/>
      <c r="AE54" s="28"/>
      <c r="AF54" s="28"/>
      <c r="AG54" s="28"/>
    </row>
    <row r="55">
      <c r="A55" s="28"/>
      <c r="B55" s="28"/>
      <c r="C55" s="132"/>
      <c r="D55" s="28"/>
      <c r="E55" s="28"/>
      <c r="F55" s="28"/>
      <c r="G55" s="133"/>
      <c r="H55" s="133"/>
      <c r="I55" s="134"/>
      <c r="J55" s="135"/>
      <c r="K55" s="135"/>
      <c r="L55" s="136"/>
      <c r="M55" s="136"/>
      <c r="N55" s="136"/>
      <c r="O55" s="121"/>
      <c r="P55" s="133"/>
      <c r="Q55" s="28"/>
      <c r="R55" s="28"/>
      <c r="S55" s="28"/>
      <c r="T55" s="28"/>
      <c r="U55" s="28"/>
      <c r="V55" s="28"/>
      <c r="W55" s="28"/>
      <c r="X55" s="28"/>
      <c r="Y55" s="28"/>
      <c r="Z55" s="28"/>
      <c r="AA55" s="28"/>
      <c r="AB55" s="28"/>
      <c r="AC55" s="28"/>
      <c r="AD55" s="28"/>
      <c r="AE55" s="28"/>
      <c r="AF55" s="28"/>
      <c r="AG55" s="28"/>
    </row>
    <row r="56">
      <c r="A56" s="28"/>
      <c r="B56" s="28"/>
      <c r="C56" s="132"/>
      <c r="D56" s="28"/>
      <c r="E56" s="28"/>
      <c r="F56" s="28"/>
      <c r="G56" s="133"/>
      <c r="H56" s="133"/>
      <c r="I56" s="134"/>
      <c r="J56" s="135"/>
      <c r="K56" s="135"/>
      <c r="L56" s="136"/>
      <c r="M56" s="136"/>
      <c r="N56" s="136"/>
      <c r="O56" s="121"/>
      <c r="P56" s="140"/>
      <c r="Q56" s="28"/>
      <c r="R56" s="28"/>
      <c r="S56" s="28"/>
      <c r="T56" s="28"/>
      <c r="U56" s="28"/>
      <c r="V56" s="28"/>
      <c r="W56" s="28"/>
      <c r="X56" s="28"/>
      <c r="Y56" s="28"/>
      <c r="Z56" s="28"/>
      <c r="AA56" s="28"/>
      <c r="AB56" s="28"/>
      <c r="AC56" s="28"/>
      <c r="AD56" s="28"/>
      <c r="AE56" s="28"/>
      <c r="AF56" s="28"/>
      <c r="AG56" s="28"/>
    </row>
    <row r="57">
      <c r="A57" s="28"/>
      <c r="B57" s="28"/>
      <c r="C57" s="132"/>
      <c r="D57" s="28"/>
      <c r="E57" s="28"/>
      <c r="F57" s="28"/>
      <c r="G57" s="133"/>
      <c r="H57" s="133"/>
      <c r="I57" s="134"/>
      <c r="J57" s="135"/>
      <c r="K57" s="135"/>
      <c r="L57" s="136"/>
      <c r="M57" s="136"/>
      <c r="N57" s="136"/>
      <c r="O57" s="121"/>
      <c r="P57" s="133"/>
      <c r="Q57" s="28"/>
      <c r="R57" s="28"/>
      <c r="S57" s="28"/>
      <c r="T57" s="28"/>
      <c r="U57" s="28"/>
      <c r="V57" s="28"/>
      <c r="W57" s="28"/>
      <c r="X57" s="28"/>
      <c r="Y57" s="28"/>
      <c r="Z57" s="28"/>
      <c r="AA57" s="28"/>
      <c r="AB57" s="28"/>
      <c r="AC57" s="28"/>
      <c r="AD57" s="28"/>
      <c r="AE57" s="28"/>
      <c r="AF57" s="28"/>
      <c r="AG57" s="28"/>
    </row>
    <row r="58">
      <c r="A58" s="28"/>
      <c r="B58" s="28"/>
      <c r="C58" s="132"/>
      <c r="D58" s="28"/>
      <c r="E58" s="28"/>
      <c r="F58" s="28"/>
      <c r="G58" s="133"/>
      <c r="H58" s="133"/>
      <c r="I58" s="134"/>
      <c r="J58" s="135"/>
      <c r="K58" s="135"/>
      <c r="L58" s="136"/>
      <c r="M58" s="136"/>
      <c r="N58" s="136"/>
      <c r="O58" s="149"/>
      <c r="P58" s="140"/>
      <c r="Q58" s="28"/>
      <c r="R58" s="28"/>
      <c r="S58" s="28"/>
      <c r="T58" s="28"/>
      <c r="U58" s="28"/>
      <c r="V58" s="28"/>
      <c r="W58" s="28"/>
      <c r="X58" s="28"/>
      <c r="Y58" s="28"/>
      <c r="Z58" s="28"/>
      <c r="AA58" s="28"/>
      <c r="AB58" s="28"/>
      <c r="AC58" s="28"/>
      <c r="AD58" s="28"/>
      <c r="AE58" s="28"/>
      <c r="AF58" s="28"/>
      <c r="AG58" s="28"/>
    </row>
    <row r="59">
      <c r="A59" s="28"/>
      <c r="B59" s="28"/>
      <c r="C59" s="132"/>
      <c r="D59" s="28"/>
      <c r="E59" s="28"/>
      <c r="F59" s="28"/>
      <c r="G59" s="133"/>
      <c r="H59" s="133"/>
      <c r="I59" s="134"/>
      <c r="J59" s="135"/>
      <c r="K59" s="135"/>
      <c r="L59" s="136"/>
      <c r="M59" s="136"/>
      <c r="N59" s="136"/>
      <c r="O59" s="28"/>
      <c r="P59" s="133"/>
      <c r="Q59" s="28"/>
      <c r="R59" s="28"/>
      <c r="S59" s="28"/>
      <c r="T59" s="28"/>
      <c r="U59" s="28"/>
      <c r="V59" s="28"/>
      <c r="W59" s="28"/>
      <c r="X59" s="28"/>
      <c r="Y59" s="28"/>
      <c r="Z59" s="28"/>
      <c r="AA59" s="28"/>
      <c r="AB59" s="28"/>
      <c r="AC59" s="28"/>
      <c r="AD59" s="28"/>
      <c r="AE59" s="28"/>
      <c r="AF59" s="28"/>
      <c r="AG59" s="28"/>
    </row>
    <row r="60">
      <c r="A60" s="28"/>
      <c r="B60" s="28"/>
      <c r="C60" s="132"/>
      <c r="D60" s="28"/>
      <c r="E60" s="28"/>
      <c r="F60" s="28"/>
      <c r="G60" s="133"/>
      <c r="H60" s="133"/>
      <c r="I60" s="134"/>
      <c r="J60" s="135"/>
      <c r="K60" s="135"/>
      <c r="L60" s="136"/>
      <c r="M60" s="136"/>
      <c r="N60" s="136"/>
      <c r="O60" s="28"/>
      <c r="P60" s="140"/>
      <c r="Q60" s="28"/>
      <c r="R60" s="28"/>
      <c r="S60" s="28"/>
      <c r="T60" s="28"/>
      <c r="U60" s="28"/>
      <c r="V60" s="28"/>
      <c r="W60" s="28"/>
      <c r="X60" s="28"/>
      <c r="Y60" s="28"/>
      <c r="Z60" s="28"/>
      <c r="AA60" s="28"/>
      <c r="AB60" s="28"/>
      <c r="AC60" s="28"/>
      <c r="AD60" s="28"/>
      <c r="AE60" s="28"/>
      <c r="AF60" s="28"/>
      <c r="AG60" s="28"/>
    </row>
    <row r="61">
      <c r="A61" s="28"/>
      <c r="B61" s="28"/>
      <c r="C61" s="132"/>
      <c r="D61" s="28"/>
      <c r="E61" s="28"/>
      <c r="F61" s="28"/>
      <c r="G61" s="133"/>
      <c r="H61" s="133"/>
      <c r="I61" s="134"/>
      <c r="J61" s="135"/>
      <c r="K61" s="135"/>
      <c r="L61" s="136"/>
      <c r="M61" s="136"/>
      <c r="N61" s="136"/>
      <c r="O61" s="28"/>
      <c r="P61" s="133"/>
      <c r="Q61" s="28"/>
      <c r="R61" s="28"/>
      <c r="S61" s="28"/>
      <c r="T61" s="28"/>
      <c r="U61" s="28"/>
      <c r="V61" s="28"/>
      <c r="W61" s="28"/>
      <c r="X61" s="28"/>
      <c r="Y61" s="28"/>
      <c r="Z61" s="28"/>
      <c r="AA61" s="28"/>
      <c r="AB61" s="28"/>
      <c r="AC61" s="28"/>
      <c r="AD61" s="28"/>
      <c r="AE61" s="28"/>
      <c r="AF61" s="28"/>
      <c r="AG61" s="28"/>
    </row>
    <row r="62">
      <c r="A62" s="28"/>
      <c r="B62" s="28"/>
      <c r="C62" s="132"/>
      <c r="D62" s="28"/>
      <c r="E62" s="28"/>
      <c r="F62" s="28"/>
      <c r="G62" s="133"/>
      <c r="H62" s="133"/>
      <c r="I62" s="134"/>
      <c r="J62" s="135"/>
      <c r="K62" s="135"/>
      <c r="L62" s="136"/>
      <c r="M62" s="136"/>
      <c r="N62" s="136"/>
      <c r="O62" s="28"/>
      <c r="P62" s="140"/>
      <c r="Q62" s="28"/>
      <c r="R62" s="28"/>
      <c r="S62" s="28"/>
      <c r="T62" s="28"/>
      <c r="U62" s="28"/>
      <c r="V62" s="28"/>
      <c r="W62" s="28"/>
      <c r="X62" s="28"/>
      <c r="Y62" s="28"/>
      <c r="Z62" s="28"/>
      <c r="AA62" s="28"/>
      <c r="AB62" s="28"/>
      <c r="AC62" s="28"/>
      <c r="AD62" s="28"/>
      <c r="AE62" s="28"/>
      <c r="AF62" s="28"/>
      <c r="AG62" s="28"/>
    </row>
    <row r="63">
      <c r="A63" s="28"/>
      <c r="B63" s="28"/>
      <c r="C63" s="132"/>
      <c r="D63" s="28"/>
      <c r="E63" s="28"/>
      <c r="F63" s="28"/>
      <c r="G63" s="133"/>
      <c r="H63" s="133"/>
      <c r="I63" s="134"/>
      <c r="J63" s="135"/>
      <c r="K63" s="135"/>
      <c r="L63" s="136"/>
      <c r="M63" s="136"/>
      <c r="N63" s="136"/>
      <c r="O63" s="28"/>
      <c r="P63" s="133"/>
      <c r="Q63" s="28"/>
      <c r="R63" s="28"/>
      <c r="S63" s="28"/>
      <c r="T63" s="28"/>
      <c r="U63" s="28"/>
      <c r="V63" s="28"/>
      <c r="W63" s="28"/>
      <c r="X63" s="28"/>
      <c r="Y63" s="28"/>
      <c r="Z63" s="28"/>
      <c r="AA63" s="28"/>
      <c r="AB63" s="28"/>
      <c r="AC63" s="28"/>
      <c r="AD63" s="28"/>
      <c r="AE63" s="28"/>
      <c r="AF63" s="28"/>
      <c r="AG63" s="28"/>
    </row>
    <row r="64">
      <c r="A64" s="28"/>
      <c r="B64" s="28"/>
      <c r="C64" s="132"/>
      <c r="D64" s="28"/>
      <c r="E64" s="28"/>
      <c r="F64" s="28"/>
      <c r="G64" s="133"/>
      <c r="H64" s="133"/>
      <c r="I64" s="134"/>
      <c r="J64" s="135"/>
      <c r="K64" s="135"/>
      <c r="L64" s="136"/>
      <c r="M64" s="136"/>
      <c r="N64" s="136"/>
      <c r="O64" s="28"/>
      <c r="P64" s="140"/>
      <c r="Q64" s="28"/>
      <c r="R64" s="28"/>
      <c r="S64" s="28"/>
      <c r="T64" s="28"/>
      <c r="U64" s="28"/>
      <c r="V64" s="28"/>
      <c r="W64" s="28"/>
      <c r="X64" s="28"/>
      <c r="Y64" s="28"/>
      <c r="Z64" s="28"/>
      <c r="AA64" s="28"/>
      <c r="AB64" s="28"/>
      <c r="AC64" s="28"/>
      <c r="AD64" s="28"/>
      <c r="AE64" s="28"/>
      <c r="AF64" s="28"/>
      <c r="AG64" s="28"/>
    </row>
    <row r="65">
      <c r="A65" s="28"/>
      <c r="B65" s="28"/>
      <c r="C65" s="132"/>
      <c r="D65" s="28"/>
      <c r="E65" s="28"/>
      <c r="F65" s="28"/>
      <c r="G65" s="133"/>
      <c r="H65" s="133"/>
      <c r="I65" s="134"/>
      <c r="J65" s="135"/>
      <c r="K65" s="135"/>
      <c r="L65" s="136"/>
      <c r="M65" s="136"/>
      <c r="N65" s="136"/>
      <c r="O65" s="28"/>
      <c r="P65" s="133"/>
      <c r="Q65" s="28"/>
      <c r="R65" s="28"/>
      <c r="S65" s="28"/>
      <c r="T65" s="28"/>
      <c r="U65" s="28"/>
      <c r="V65" s="28"/>
      <c r="W65" s="28"/>
      <c r="X65" s="28"/>
      <c r="Y65" s="28"/>
      <c r="Z65" s="28"/>
      <c r="AA65" s="28"/>
      <c r="AB65" s="28"/>
      <c r="AC65" s="28"/>
      <c r="AD65" s="28"/>
      <c r="AE65" s="28"/>
      <c r="AF65" s="28"/>
      <c r="AG65" s="28"/>
    </row>
    <row r="66">
      <c r="A66" s="28"/>
      <c r="B66" s="28"/>
      <c r="C66" s="132"/>
      <c r="D66" s="28"/>
      <c r="E66" s="28"/>
      <c r="F66" s="28"/>
      <c r="G66" s="133"/>
      <c r="H66" s="133"/>
      <c r="I66" s="134"/>
      <c r="J66" s="135"/>
      <c r="K66" s="135"/>
      <c r="L66" s="136"/>
      <c r="M66" s="136"/>
      <c r="N66" s="136"/>
      <c r="O66" s="28"/>
      <c r="P66" s="140"/>
      <c r="Q66" s="28"/>
      <c r="R66" s="28"/>
      <c r="S66" s="28"/>
      <c r="T66" s="28"/>
      <c r="U66" s="28"/>
      <c r="V66" s="28"/>
      <c r="W66" s="28"/>
      <c r="X66" s="28"/>
      <c r="Y66" s="28"/>
      <c r="Z66" s="28"/>
      <c r="AA66" s="28"/>
      <c r="AB66" s="28"/>
      <c r="AC66" s="28"/>
      <c r="AD66" s="28"/>
      <c r="AE66" s="28"/>
      <c r="AF66" s="28"/>
      <c r="AG66" s="28"/>
    </row>
    <row r="67">
      <c r="A67" s="28"/>
      <c r="B67" s="28"/>
      <c r="C67" s="132"/>
      <c r="D67" s="28"/>
      <c r="E67" s="28"/>
      <c r="F67" s="28"/>
      <c r="G67" s="133"/>
      <c r="H67" s="133"/>
      <c r="I67" s="134"/>
      <c r="J67" s="135"/>
      <c r="K67" s="135"/>
      <c r="L67" s="136"/>
      <c r="M67" s="136"/>
      <c r="N67" s="136"/>
      <c r="O67" s="28"/>
      <c r="P67" s="133"/>
      <c r="Q67" s="28"/>
      <c r="R67" s="28"/>
      <c r="S67" s="28"/>
      <c r="T67" s="28"/>
      <c r="U67" s="28"/>
      <c r="V67" s="28"/>
      <c r="W67" s="28"/>
      <c r="X67" s="28"/>
      <c r="Y67" s="28"/>
      <c r="Z67" s="28"/>
      <c r="AA67" s="28"/>
      <c r="AB67" s="28"/>
      <c r="AC67" s="28"/>
      <c r="AD67" s="28"/>
      <c r="AE67" s="28"/>
      <c r="AF67" s="28"/>
      <c r="AG67" s="28"/>
    </row>
    <row r="68">
      <c r="A68" s="28"/>
      <c r="B68" s="28"/>
      <c r="C68" s="132"/>
      <c r="D68" s="28"/>
      <c r="E68" s="28"/>
      <c r="F68" s="28"/>
      <c r="G68" s="133"/>
      <c r="H68" s="133"/>
      <c r="I68" s="134"/>
      <c r="J68" s="135"/>
      <c r="K68" s="135"/>
      <c r="L68" s="136"/>
      <c r="M68" s="136"/>
      <c r="N68" s="136"/>
      <c r="O68" s="28"/>
      <c r="P68" s="140"/>
      <c r="Q68" s="28"/>
      <c r="R68" s="28"/>
      <c r="S68" s="28"/>
      <c r="T68" s="28"/>
      <c r="U68" s="28"/>
      <c r="V68" s="28"/>
      <c r="W68" s="28"/>
      <c r="X68" s="28"/>
      <c r="Y68" s="28"/>
      <c r="Z68" s="28"/>
      <c r="AA68" s="28"/>
      <c r="AB68" s="28"/>
      <c r="AC68" s="28"/>
      <c r="AD68" s="28"/>
      <c r="AE68" s="28"/>
      <c r="AF68" s="28"/>
      <c r="AG68" s="28"/>
    </row>
    <row r="69">
      <c r="A69" s="28"/>
      <c r="B69" s="28"/>
      <c r="C69" s="132"/>
      <c r="D69" s="28"/>
      <c r="E69" s="28"/>
      <c r="F69" s="28"/>
      <c r="G69" s="133"/>
      <c r="H69" s="133"/>
      <c r="I69" s="134"/>
      <c r="J69" s="135"/>
      <c r="K69" s="135"/>
      <c r="L69" s="136"/>
      <c r="M69" s="136"/>
      <c r="N69" s="136"/>
      <c r="O69" s="28"/>
      <c r="P69" s="133"/>
      <c r="Q69" s="28"/>
      <c r="R69" s="28"/>
      <c r="S69" s="28"/>
      <c r="T69" s="28"/>
      <c r="U69" s="28"/>
      <c r="V69" s="28"/>
      <c r="W69" s="28"/>
      <c r="X69" s="28"/>
      <c r="Y69" s="28"/>
      <c r="Z69" s="28"/>
      <c r="AA69" s="28"/>
      <c r="AB69" s="28"/>
      <c r="AC69" s="28"/>
      <c r="AD69" s="28"/>
      <c r="AE69" s="28"/>
      <c r="AF69" s="28"/>
      <c r="AG69" s="28"/>
    </row>
    <row r="70">
      <c r="A70" s="28"/>
      <c r="B70" s="28"/>
      <c r="C70" s="132"/>
      <c r="D70" s="28"/>
      <c r="E70" s="28"/>
      <c r="F70" s="28"/>
      <c r="G70" s="133"/>
      <c r="H70" s="133"/>
      <c r="I70" s="134"/>
      <c r="J70" s="135"/>
      <c r="K70" s="135"/>
      <c r="L70" s="136"/>
      <c r="M70" s="136"/>
      <c r="N70" s="136"/>
      <c r="O70" s="28"/>
      <c r="P70" s="140"/>
      <c r="Q70" s="28"/>
      <c r="R70" s="28"/>
      <c r="S70" s="28"/>
      <c r="T70" s="28"/>
      <c r="U70" s="28"/>
      <c r="V70" s="28"/>
      <c r="W70" s="28"/>
      <c r="X70" s="28"/>
      <c r="Y70" s="28"/>
      <c r="Z70" s="28"/>
      <c r="AA70" s="28"/>
      <c r="AB70" s="28"/>
      <c r="AC70" s="28"/>
      <c r="AD70" s="28"/>
      <c r="AE70" s="28"/>
      <c r="AF70" s="28"/>
      <c r="AG70" s="28"/>
    </row>
    <row r="71">
      <c r="A71" s="28"/>
      <c r="B71" s="28"/>
      <c r="C71" s="132"/>
      <c r="D71" s="28"/>
      <c r="E71" s="28"/>
      <c r="F71" s="28"/>
      <c r="G71" s="133"/>
      <c r="H71" s="133"/>
      <c r="I71" s="134"/>
      <c r="J71" s="135"/>
      <c r="K71" s="135"/>
      <c r="L71" s="136"/>
      <c r="M71" s="136"/>
      <c r="N71" s="136"/>
      <c r="O71" s="28"/>
      <c r="P71" s="133"/>
      <c r="Q71" s="28"/>
      <c r="R71" s="28"/>
      <c r="S71" s="28"/>
      <c r="T71" s="28"/>
      <c r="U71" s="28"/>
      <c r="V71" s="28"/>
      <c r="W71" s="28"/>
      <c r="X71" s="28"/>
      <c r="Y71" s="28"/>
      <c r="Z71" s="28"/>
      <c r="AA71" s="28"/>
      <c r="AB71" s="28"/>
      <c r="AC71" s="28"/>
      <c r="AD71" s="28"/>
      <c r="AE71" s="28"/>
      <c r="AF71" s="28"/>
      <c r="AG71" s="28"/>
    </row>
    <row r="72">
      <c r="A72" s="28"/>
      <c r="B72" s="28"/>
      <c r="C72" s="132"/>
      <c r="D72" s="28"/>
      <c r="E72" s="28"/>
      <c r="F72" s="28"/>
      <c r="G72" s="133"/>
      <c r="H72" s="133"/>
      <c r="I72" s="134"/>
      <c r="J72" s="135"/>
      <c r="K72" s="135"/>
      <c r="L72" s="136"/>
      <c r="M72" s="136"/>
      <c r="N72" s="136"/>
      <c r="O72" s="28"/>
      <c r="P72" s="140"/>
      <c r="Q72" s="28"/>
      <c r="R72" s="28"/>
      <c r="S72" s="28"/>
      <c r="T72" s="28"/>
      <c r="U72" s="28"/>
      <c r="V72" s="28"/>
      <c r="W72" s="28"/>
      <c r="X72" s="28"/>
      <c r="Y72" s="28"/>
      <c r="Z72" s="28"/>
      <c r="AA72" s="28"/>
      <c r="AB72" s="28"/>
      <c r="AC72" s="28"/>
      <c r="AD72" s="28"/>
      <c r="AE72" s="28"/>
      <c r="AF72" s="28"/>
      <c r="AG72" s="28"/>
    </row>
    <row r="73">
      <c r="A73" s="28"/>
      <c r="B73" s="28"/>
      <c r="C73" s="132"/>
      <c r="D73" s="28"/>
      <c r="E73" s="28"/>
      <c r="F73" s="28"/>
      <c r="G73" s="133"/>
      <c r="H73" s="133"/>
      <c r="I73" s="134"/>
      <c r="J73" s="135"/>
      <c r="K73" s="135"/>
      <c r="L73" s="136"/>
      <c r="M73" s="136"/>
      <c r="N73" s="136"/>
      <c r="O73" s="28"/>
      <c r="P73" s="133"/>
      <c r="Q73" s="28"/>
      <c r="R73" s="28"/>
      <c r="S73" s="28"/>
      <c r="T73" s="28"/>
      <c r="U73" s="28"/>
      <c r="V73" s="28"/>
      <c r="W73" s="28"/>
      <c r="X73" s="28"/>
      <c r="Y73" s="28"/>
      <c r="Z73" s="28"/>
      <c r="AA73" s="28"/>
      <c r="AB73" s="28"/>
      <c r="AC73" s="28"/>
      <c r="AD73" s="28"/>
      <c r="AE73" s="28"/>
      <c r="AF73" s="28"/>
      <c r="AG73" s="28"/>
    </row>
    <row r="74">
      <c r="A74" s="28"/>
      <c r="B74" s="28"/>
      <c r="C74" s="132"/>
      <c r="D74" s="28"/>
      <c r="E74" s="28"/>
      <c r="F74" s="28"/>
      <c r="G74" s="133"/>
      <c r="H74" s="133"/>
      <c r="I74" s="134"/>
      <c r="J74" s="135"/>
      <c r="K74" s="135"/>
      <c r="L74" s="136"/>
      <c r="M74" s="136"/>
      <c r="N74" s="136"/>
      <c r="O74" s="28"/>
      <c r="P74" s="140"/>
      <c r="Q74" s="28"/>
      <c r="R74" s="28"/>
      <c r="S74" s="28"/>
      <c r="T74" s="28"/>
      <c r="U74" s="28"/>
      <c r="V74" s="28"/>
      <c r="W74" s="28"/>
      <c r="X74" s="28"/>
      <c r="Y74" s="28"/>
      <c r="Z74" s="28"/>
      <c r="AA74" s="28"/>
      <c r="AB74" s="28"/>
      <c r="AC74" s="28"/>
      <c r="AD74" s="28"/>
      <c r="AE74" s="28"/>
      <c r="AF74" s="28"/>
      <c r="AG74" s="28"/>
    </row>
    <row r="75">
      <c r="A75" s="28"/>
      <c r="B75" s="28"/>
      <c r="C75" s="132"/>
      <c r="D75" s="28"/>
      <c r="E75" s="28"/>
      <c r="F75" s="28"/>
      <c r="G75" s="133"/>
      <c r="H75" s="133"/>
      <c r="I75" s="134"/>
      <c r="J75" s="135"/>
      <c r="K75" s="135"/>
      <c r="L75" s="136"/>
      <c r="M75" s="136"/>
      <c r="N75" s="136"/>
      <c r="O75" s="28"/>
      <c r="P75" s="133"/>
      <c r="Q75" s="28"/>
      <c r="R75" s="28"/>
      <c r="S75" s="28"/>
      <c r="T75" s="28"/>
      <c r="U75" s="28"/>
      <c r="V75" s="28"/>
      <c r="W75" s="28"/>
      <c r="X75" s="28"/>
      <c r="Y75" s="28"/>
      <c r="Z75" s="28"/>
      <c r="AA75" s="28"/>
      <c r="AB75" s="28"/>
      <c r="AC75" s="28"/>
      <c r="AD75" s="28"/>
      <c r="AE75" s="28"/>
      <c r="AF75" s="28"/>
      <c r="AG75" s="28"/>
    </row>
    <row r="76">
      <c r="A76" s="28"/>
      <c r="B76" s="28"/>
      <c r="C76" s="132"/>
      <c r="D76" s="28"/>
      <c r="E76" s="28"/>
      <c r="F76" s="28"/>
      <c r="G76" s="133"/>
      <c r="H76" s="133"/>
      <c r="I76" s="134"/>
      <c r="J76" s="135"/>
      <c r="K76" s="135"/>
      <c r="L76" s="136"/>
      <c r="M76" s="136"/>
      <c r="N76" s="136"/>
      <c r="O76" s="28"/>
      <c r="P76" s="140"/>
      <c r="Q76" s="28"/>
      <c r="R76" s="28"/>
      <c r="S76" s="28"/>
      <c r="T76" s="28"/>
      <c r="U76" s="28"/>
      <c r="V76" s="28"/>
      <c r="W76" s="28"/>
      <c r="X76" s="28"/>
      <c r="Y76" s="28"/>
      <c r="Z76" s="28"/>
      <c r="AA76" s="28"/>
      <c r="AB76" s="28"/>
      <c r="AC76" s="28"/>
      <c r="AD76" s="28"/>
      <c r="AE76" s="28"/>
      <c r="AF76" s="28"/>
      <c r="AG76" s="28"/>
    </row>
    <row r="77">
      <c r="A77" s="28"/>
      <c r="B77" s="28"/>
      <c r="C77" s="132"/>
      <c r="D77" s="28"/>
      <c r="E77" s="28"/>
      <c r="F77" s="28"/>
      <c r="G77" s="133"/>
      <c r="H77" s="133"/>
      <c r="I77" s="134"/>
      <c r="J77" s="135"/>
      <c r="K77" s="135"/>
      <c r="L77" s="136"/>
      <c r="M77" s="136"/>
      <c r="N77" s="136"/>
      <c r="O77" s="28"/>
      <c r="P77" s="133"/>
      <c r="Q77" s="28"/>
      <c r="R77" s="28"/>
      <c r="S77" s="28"/>
      <c r="T77" s="28"/>
      <c r="U77" s="28"/>
      <c r="V77" s="28"/>
      <c r="W77" s="28"/>
      <c r="X77" s="28"/>
      <c r="Y77" s="28"/>
      <c r="Z77" s="28"/>
      <c r="AA77" s="28"/>
      <c r="AB77" s="28"/>
      <c r="AC77" s="28"/>
      <c r="AD77" s="28"/>
      <c r="AE77" s="28"/>
      <c r="AF77" s="28"/>
      <c r="AG77" s="28"/>
    </row>
    <row r="78">
      <c r="A78" s="28"/>
      <c r="B78" s="28"/>
      <c r="C78" s="132"/>
      <c r="D78" s="28"/>
      <c r="E78" s="28"/>
      <c r="F78" s="28"/>
      <c r="G78" s="133"/>
      <c r="H78" s="133"/>
      <c r="I78" s="134"/>
      <c r="J78" s="135"/>
      <c r="K78" s="135"/>
      <c r="L78" s="136"/>
      <c r="M78" s="136"/>
      <c r="N78" s="136"/>
      <c r="O78" s="28"/>
      <c r="P78" s="140"/>
      <c r="Q78" s="28"/>
      <c r="R78" s="28"/>
      <c r="S78" s="28"/>
      <c r="T78" s="28"/>
      <c r="U78" s="28"/>
      <c r="V78" s="28"/>
      <c r="W78" s="28"/>
      <c r="X78" s="28"/>
      <c r="Y78" s="28"/>
      <c r="Z78" s="28"/>
      <c r="AA78" s="28"/>
      <c r="AB78" s="28"/>
      <c r="AC78" s="28"/>
      <c r="AD78" s="28"/>
      <c r="AE78" s="28"/>
      <c r="AF78" s="28"/>
      <c r="AG78" s="28"/>
    </row>
    <row r="79">
      <c r="A79" s="28"/>
      <c r="B79" s="28"/>
      <c r="C79" s="132"/>
      <c r="D79" s="28"/>
      <c r="E79" s="28"/>
      <c r="F79" s="28"/>
      <c r="G79" s="133"/>
      <c r="H79" s="133"/>
      <c r="I79" s="134"/>
      <c r="J79" s="135"/>
      <c r="K79" s="135"/>
      <c r="L79" s="136"/>
      <c r="M79" s="136"/>
      <c r="N79" s="136"/>
      <c r="O79" s="28"/>
      <c r="P79" s="133"/>
      <c r="Q79" s="28"/>
      <c r="R79" s="28"/>
      <c r="S79" s="28"/>
      <c r="T79" s="28"/>
      <c r="U79" s="28"/>
      <c r="V79" s="28"/>
      <c r="W79" s="28"/>
      <c r="X79" s="28"/>
      <c r="Y79" s="28"/>
      <c r="Z79" s="28"/>
      <c r="AA79" s="28"/>
      <c r="AB79" s="28"/>
      <c r="AC79" s="28"/>
      <c r="AD79" s="28"/>
      <c r="AE79" s="28"/>
      <c r="AF79" s="28"/>
      <c r="AG79" s="28"/>
    </row>
    <row r="80">
      <c r="A80" s="28"/>
      <c r="B80" s="28"/>
      <c r="C80" s="132"/>
      <c r="D80" s="28"/>
      <c r="E80" s="28"/>
      <c r="F80" s="28"/>
      <c r="G80" s="133"/>
      <c r="H80" s="133"/>
      <c r="I80" s="134"/>
      <c r="J80" s="135"/>
      <c r="K80" s="135"/>
      <c r="L80" s="136"/>
      <c r="M80" s="136"/>
      <c r="N80" s="136"/>
      <c r="O80" s="28"/>
      <c r="P80" s="140"/>
      <c r="Q80" s="28"/>
      <c r="R80" s="28"/>
      <c r="S80" s="28"/>
      <c r="T80" s="28"/>
      <c r="U80" s="28"/>
      <c r="V80" s="28"/>
      <c r="W80" s="28"/>
      <c r="X80" s="28"/>
      <c r="Y80" s="28"/>
      <c r="Z80" s="28"/>
      <c r="AA80" s="28"/>
      <c r="AB80" s="28"/>
      <c r="AC80" s="28"/>
      <c r="AD80" s="28"/>
      <c r="AE80" s="28"/>
      <c r="AF80" s="28"/>
      <c r="AG80" s="28"/>
    </row>
    <row r="81">
      <c r="A81" s="28"/>
      <c r="B81" s="28"/>
      <c r="C81" s="132"/>
      <c r="D81" s="28"/>
      <c r="E81" s="28"/>
      <c r="F81" s="28"/>
      <c r="G81" s="133"/>
      <c r="H81" s="133"/>
      <c r="I81" s="134"/>
      <c r="J81" s="135"/>
      <c r="K81" s="135"/>
      <c r="L81" s="136"/>
      <c r="M81" s="136"/>
      <c r="N81" s="136"/>
      <c r="O81" s="28"/>
      <c r="P81" s="133"/>
      <c r="Q81" s="28"/>
      <c r="R81" s="28"/>
      <c r="S81" s="28"/>
      <c r="T81" s="28"/>
      <c r="U81" s="28"/>
      <c r="V81" s="28"/>
      <c r="W81" s="28"/>
      <c r="X81" s="28"/>
      <c r="Y81" s="28"/>
      <c r="Z81" s="28"/>
      <c r="AA81" s="28"/>
      <c r="AB81" s="28"/>
      <c r="AC81" s="28"/>
      <c r="AD81" s="28"/>
      <c r="AE81" s="28"/>
      <c r="AF81" s="28"/>
      <c r="AG81" s="28"/>
    </row>
    <row r="82">
      <c r="A82" s="28"/>
      <c r="B82" s="28"/>
      <c r="C82" s="132"/>
      <c r="D82" s="28"/>
      <c r="E82" s="28"/>
      <c r="F82" s="28"/>
      <c r="G82" s="133"/>
      <c r="H82" s="133"/>
      <c r="I82" s="134"/>
      <c r="J82" s="135"/>
      <c r="K82" s="135"/>
      <c r="L82" s="136"/>
      <c r="M82" s="136"/>
      <c r="N82" s="136"/>
      <c r="O82" s="28"/>
      <c r="P82" s="140"/>
      <c r="Q82" s="28"/>
      <c r="R82" s="28"/>
      <c r="S82" s="28"/>
      <c r="T82" s="28"/>
      <c r="U82" s="28"/>
      <c r="V82" s="28"/>
      <c r="W82" s="28"/>
      <c r="X82" s="28"/>
      <c r="Y82" s="28"/>
      <c r="Z82" s="28"/>
      <c r="AA82" s="28"/>
      <c r="AB82" s="28"/>
      <c r="AC82" s="28"/>
      <c r="AD82" s="28"/>
      <c r="AE82" s="28"/>
      <c r="AF82" s="28"/>
      <c r="AG82" s="28"/>
    </row>
    <row r="83">
      <c r="A83" s="28"/>
      <c r="B83" s="28"/>
      <c r="C83" s="132"/>
      <c r="D83" s="28"/>
      <c r="E83" s="28"/>
      <c r="F83" s="28"/>
      <c r="G83" s="133"/>
      <c r="H83" s="133"/>
      <c r="I83" s="134"/>
      <c r="J83" s="135"/>
      <c r="K83" s="135"/>
      <c r="L83" s="136"/>
      <c r="M83" s="136"/>
      <c r="N83" s="136"/>
      <c r="O83" s="28"/>
      <c r="P83" s="133"/>
      <c r="Q83" s="28"/>
      <c r="R83" s="28"/>
      <c r="S83" s="28"/>
      <c r="T83" s="28"/>
      <c r="U83" s="28"/>
      <c r="V83" s="28"/>
      <c r="W83" s="28"/>
      <c r="X83" s="28"/>
      <c r="Y83" s="28"/>
      <c r="Z83" s="28"/>
      <c r="AA83" s="28"/>
      <c r="AB83" s="28"/>
      <c r="AC83" s="28"/>
      <c r="AD83" s="28"/>
      <c r="AE83" s="28"/>
      <c r="AF83" s="28"/>
      <c r="AG83" s="28"/>
    </row>
    <row r="84">
      <c r="A84" s="28"/>
      <c r="B84" s="28"/>
      <c r="C84" s="132"/>
      <c r="D84" s="28"/>
      <c r="E84" s="28"/>
      <c r="F84" s="28"/>
      <c r="G84" s="133"/>
      <c r="H84" s="133"/>
      <c r="I84" s="134"/>
      <c r="J84" s="135"/>
      <c r="K84" s="135"/>
      <c r="L84" s="136"/>
      <c r="M84" s="136"/>
      <c r="N84" s="136"/>
      <c r="O84" s="28"/>
      <c r="P84" s="140"/>
      <c r="Q84" s="28"/>
      <c r="R84" s="28"/>
      <c r="S84" s="28"/>
      <c r="T84" s="28"/>
      <c r="U84" s="28"/>
      <c r="V84" s="28"/>
      <c r="W84" s="28"/>
      <c r="X84" s="28"/>
      <c r="Y84" s="28"/>
      <c r="Z84" s="28"/>
      <c r="AA84" s="28"/>
      <c r="AB84" s="28"/>
      <c r="AC84" s="28"/>
      <c r="AD84" s="28"/>
      <c r="AE84" s="28"/>
      <c r="AF84" s="28"/>
      <c r="AG84" s="28"/>
    </row>
    <row r="85">
      <c r="A85" s="28"/>
      <c r="B85" s="28"/>
      <c r="C85" s="132"/>
      <c r="D85" s="28"/>
      <c r="E85" s="28"/>
      <c r="F85" s="28"/>
      <c r="G85" s="133"/>
      <c r="H85" s="133"/>
      <c r="I85" s="134"/>
      <c r="J85" s="135"/>
      <c r="K85" s="135"/>
      <c r="L85" s="136"/>
      <c r="M85" s="136"/>
      <c r="N85" s="136"/>
      <c r="O85" s="28"/>
      <c r="P85" s="133"/>
      <c r="Q85" s="28"/>
      <c r="R85" s="28"/>
      <c r="S85" s="28"/>
      <c r="T85" s="28"/>
      <c r="U85" s="28"/>
      <c r="V85" s="28"/>
      <c r="W85" s="28"/>
      <c r="X85" s="28"/>
      <c r="Y85" s="28"/>
      <c r="Z85" s="28"/>
      <c r="AA85" s="28"/>
      <c r="AB85" s="28"/>
      <c r="AC85" s="28"/>
      <c r="AD85" s="28"/>
      <c r="AE85" s="28"/>
      <c r="AF85" s="28"/>
      <c r="AG85" s="28"/>
    </row>
    <row r="86">
      <c r="A86" s="28"/>
      <c r="B86" s="28"/>
      <c r="C86" s="132"/>
      <c r="D86" s="28"/>
      <c r="E86" s="28"/>
      <c r="F86" s="28"/>
      <c r="G86" s="133"/>
      <c r="H86" s="133"/>
      <c r="I86" s="134"/>
      <c r="J86" s="135"/>
      <c r="K86" s="135"/>
      <c r="L86" s="136"/>
      <c r="M86" s="136"/>
      <c r="N86" s="136"/>
      <c r="O86" s="28"/>
      <c r="P86" s="140"/>
      <c r="Q86" s="28"/>
      <c r="R86" s="28"/>
      <c r="S86" s="28"/>
      <c r="T86" s="28"/>
      <c r="U86" s="28"/>
      <c r="V86" s="28"/>
      <c r="W86" s="28"/>
      <c r="X86" s="28"/>
      <c r="Y86" s="28"/>
      <c r="Z86" s="28"/>
      <c r="AA86" s="28"/>
      <c r="AB86" s="28"/>
      <c r="AC86" s="28"/>
      <c r="AD86" s="28"/>
      <c r="AE86" s="28"/>
      <c r="AF86" s="28"/>
      <c r="AG86" s="28"/>
    </row>
    <row r="87">
      <c r="A87" s="28"/>
      <c r="B87" s="28"/>
      <c r="C87" s="132"/>
      <c r="D87" s="28"/>
      <c r="E87" s="28"/>
      <c r="F87" s="28"/>
      <c r="G87" s="133"/>
      <c r="H87" s="133"/>
      <c r="I87" s="134"/>
      <c r="J87" s="135"/>
      <c r="K87" s="135"/>
      <c r="L87" s="136"/>
      <c r="M87" s="136"/>
      <c r="N87" s="136"/>
      <c r="O87" s="28"/>
      <c r="P87" s="133"/>
      <c r="Q87" s="28"/>
      <c r="R87" s="28"/>
      <c r="S87" s="28"/>
      <c r="T87" s="28"/>
      <c r="U87" s="28"/>
      <c r="V87" s="28"/>
      <c r="W87" s="28"/>
      <c r="X87" s="28"/>
      <c r="Y87" s="28"/>
      <c r="Z87" s="28"/>
      <c r="AA87" s="28"/>
      <c r="AB87" s="28"/>
      <c r="AC87" s="28"/>
      <c r="AD87" s="28"/>
      <c r="AE87" s="28"/>
      <c r="AF87" s="28"/>
      <c r="AG87" s="28"/>
    </row>
    <row r="88">
      <c r="A88" s="28"/>
      <c r="B88" s="28"/>
      <c r="C88" s="132"/>
      <c r="D88" s="28"/>
      <c r="E88" s="28"/>
      <c r="F88" s="28"/>
      <c r="G88" s="133"/>
      <c r="H88" s="133"/>
      <c r="I88" s="134"/>
      <c r="J88" s="135"/>
      <c r="K88" s="135"/>
      <c r="L88" s="136"/>
      <c r="M88" s="136"/>
      <c r="N88" s="136"/>
      <c r="O88" s="28"/>
      <c r="P88" s="140"/>
      <c r="Q88" s="28"/>
      <c r="R88" s="28"/>
      <c r="S88" s="28"/>
      <c r="T88" s="28"/>
      <c r="U88" s="28"/>
      <c r="V88" s="28"/>
      <c r="W88" s="28"/>
      <c r="X88" s="28"/>
      <c r="Y88" s="28"/>
      <c r="Z88" s="28"/>
      <c r="AA88" s="28"/>
      <c r="AB88" s="28"/>
      <c r="AC88" s="28"/>
      <c r="AD88" s="28"/>
      <c r="AE88" s="28"/>
      <c r="AF88" s="28"/>
      <c r="AG88" s="28"/>
    </row>
    <row r="89">
      <c r="A89" s="28"/>
      <c r="B89" s="28"/>
      <c r="C89" s="132"/>
      <c r="D89" s="28"/>
      <c r="E89" s="28"/>
      <c r="F89" s="28"/>
      <c r="G89" s="133"/>
      <c r="H89" s="133"/>
      <c r="I89" s="134"/>
      <c r="J89" s="135"/>
      <c r="K89" s="135"/>
      <c r="L89" s="136"/>
      <c r="M89" s="136"/>
      <c r="N89" s="136"/>
      <c r="O89" s="28"/>
      <c r="P89" s="133"/>
      <c r="Q89" s="28"/>
      <c r="R89" s="28"/>
      <c r="S89" s="28"/>
      <c r="T89" s="28"/>
      <c r="U89" s="28"/>
      <c r="V89" s="28"/>
      <c r="W89" s="28"/>
      <c r="X89" s="28"/>
      <c r="Y89" s="28"/>
      <c r="Z89" s="28"/>
      <c r="AA89" s="28"/>
      <c r="AB89" s="28"/>
      <c r="AC89" s="28"/>
      <c r="AD89" s="28"/>
      <c r="AE89" s="28"/>
      <c r="AF89" s="28"/>
      <c r="AG89" s="28"/>
    </row>
    <row r="90">
      <c r="A90" s="28"/>
      <c r="B90" s="28"/>
      <c r="C90" s="132"/>
      <c r="D90" s="28"/>
      <c r="E90" s="28"/>
      <c r="F90" s="28"/>
      <c r="G90" s="133"/>
      <c r="H90" s="133"/>
      <c r="I90" s="134"/>
      <c r="J90" s="135"/>
      <c r="K90" s="135"/>
      <c r="L90" s="136"/>
      <c r="M90" s="136"/>
      <c r="N90" s="136"/>
      <c r="O90" s="28"/>
      <c r="P90" s="140"/>
      <c r="Q90" s="28"/>
      <c r="R90" s="28"/>
      <c r="S90" s="28"/>
      <c r="T90" s="28"/>
      <c r="U90" s="28"/>
      <c r="V90" s="28"/>
      <c r="W90" s="28"/>
      <c r="X90" s="28"/>
      <c r="Y90" s="28"/>
      <c r="Z90" s="28"/>
      <c r="AA90" s="28"/>
      <c r="AB90" s="28"/>
      <c r="AC90" s="28"/>
      <c r="AD90" s="28"/>
      <c r="AE90" s="28"/>
      <c r="AF90" s="28"/>
      <c r="AG90" s="28"/>
    </row>
  </sheetData>
  <mergeCells count="7">
    <mergeCell ref="B5:B7"/>
    <mergeCell ref="M5:M6"/>
    <mergeCell ref="N5:N6"/>
    <mergeCell ref="Q5:Q6"/>
    <mergeCell ref="A10:A11"/>
    <mergeCell ref="B19:B22"/>
    <mergeCell ref="P19:P22"/>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4.25"/>
  </cols>
  <sheetData>
    <row r="2">
      <c r="N2" s="150" t="s">
        <v>151</v>
      </c>
      <c r="O2" s="150" t="s">
        <v>152</v>
      </c>
    </row>
    <row r="3">
      <c r="N3" s="41">
        <v>15660.0</v>
      </c>
      <c r="O3" s="20">
        <f>N3*1.18</f>
        <v>18478.8</v>
      </c>
    </row>
    <row r="4">
      <c r="N4" s="151">
        <f t="shared" ref="N4:O4" si="1">N3*0.3</f>
        <v>4698</v>
      </c>
      <c r="O4" s="151">
        <f t="shared" si="1"/>
        <v>5543.64</v>
      </c>
    </row>
    <row r="6">
      <c r="O6" s="151">
        <f>O3-N4</f>
        <v>13780.8</v>
      </c>
    </row>
    <row r="7">
      <c r="O7" s="151">
        <f>O3-O4</f>
        <v>12935.16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